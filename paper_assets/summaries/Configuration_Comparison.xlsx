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hart3.xml" ContentType="application/vnd.openxmlformats-officedocument.drawingml.chart+xml"/>
  <Override PartName="/xl/charts/style2.xml" ContentType="application/vnd.ms-office.chart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(GPT-5.1)" sheetId="2" state="visible" r:id="rId4"/>
    <sheet name="Matched (win calc)" sheetId="3" state="visible" r:id="rId5"/>
    <sheet name="By Ratio (X÷Y)" sheetId="4" state="visible" r:id="rId6"/>
    <sheet name="By Initial Size (X)" sheetId="5" state="visible" r:id="rId7"/>
    <sheet name="By Final Size (Y)" sheetId="6" state="visible" r:id="rId8"/>
  </sheets>
  <definedNames>
    <definedName function="false" hidden="true" localSheetId="0" name="_xlnm._FilterDatabase" vbProcedure="false">Summary!$A$1:$P$11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<sst xmlns="http://schemas.openxmlformats.org/spreadsheetml/2006/main" count="1859" uniqueCount="45">
  <si>
    <t xml:space="preserve">Configuration</t>
  </si>
  <si>
    <t xml:space="preserve">Initial X</t>
  </si>
  <si>
    <t xml:space="preserve">Final Y</t>
  </si>
  <si>
    <t xml:space="preserve">Ratio X/Y</t>
  </si>
  <si>
    <t xml:space="preserve">Reduction X−Y</t>
  </si>
  <si>
    <t xml:space="preserve">Runs (n)</t>
  </si>
  <si>
    <t xml:space="preserve">Mean ROI (%)</t>
  </si>
  <si>
    <t xml:space="preserve">CV (%)</t>
  </si>
  <si>
    <t xml:space="preserve">Win vs Unfiltered (%)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</si>
  <si>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</si>
  <si>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</si>
  <si>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</si>
  <si>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</si>
  <si>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</si>
  <si>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IQR</t>
  </si>
  <si>
    <t xml:space="preserve">Outliers</t>
  </si>
  <si>
    <t xml:space="preserve">20-&gt;10</t>
  </si>
  <si>
    <t xml:space="preserve">10-&gt;5</t>
  </si>
  <si>
    <t xml:space="preserve">10-&gt;3</t>
  </si>
  <si>
    <t xml:space="preserve">20-&gt;5</t>
  </si>
  <si>
    <t xml:space="preserve">unfiltered</t>
  </si>
  <si>
    <t xml:space="preserve">n/a</t>
  </si>
  <si>
    <t xml:space="preserve">baseline</t>
  </si>
  <si>
    <t xml:space="preserve">30-&gt;15</t>
  </si>
  <si>
    <t xml:space="preserve">5-&gt;3</t>
  </si>
  <si>
    <t xml:space="preserve">30-&gt;10</t>
  </si>
  <si>
    <t xml:space="preserve">ranked_final</t>
  </si>
  <si>
    <t xml:space="preserve">30-&gt;5</t>
  </si>
  <si>
    <t xml:space="preserve">GPT-5.1, 12-month windows, 626 runs. Outliers = points beyond 1.5×IQR. Matches paper Table 1. Use the column filter/sort to reorder by Ratio, Initial X, or Final Y.</t>
  </si>
  <si>
    <t xml:space="preserve">Config</t>
  </si>
  <si>
    <t xml:space="preserve">Temperature</t>
  </si>
  <si>
    <t xml:space="preserve">Window</t>
  </si>
  <si>
    <t xml:space="preserve">ROI %</t>
  </si>
  <si>
    <t xml:space="preserve">2024-10_2025-10</t>
  </si>
  <si>
    <t xml:space="preserve">2024-11_2025-11</t>
  </si>
  <si>
    <t xml:space="preserve">2024-12_2025-12</t>
  </si>
  <si>
    <t xml:space="preserve">2025-01_2026-01</t>
  </si>
  <si>
    <t xml:space="preserve">2025-02_2026-02</t>
  </si>
  <si>
    <t xml:space="preserve">2025-03_2026-03</t>
  </si>
  <si>
    <t xml:space="preserve">2025-04_2026-04</t>
  </si>
  <si>
    <t xml:space="preserve">2025-05_2026-05</t>
  </si>
  <si>
    <t xml:space="preserve">2025-06_2026-06</t>
  </si>
  <si>
    <t xml:space="preserve">Config mean</t>
  </si>
  <si>
    <t xml:space="preserve">Unfiltered mean</t>
  </si>
  <si>
    <t xml:space="preserve">Win (1/0)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</si>
</sst>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filtering ratio: Mean ROI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Ratio (X÷Y)'!E1</c:f>
              <c:strCache>
                <c:ptCount val="1"/>
                <c:pt idx="0">
                  <c:v>Mean ROI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Ratio (X÷Y)'!$A$2:$A$11</c:f>
              <c:strCache>
                <c:ptCount val="10"/>
                <c:pt idx="0">
                  <c:v>5-&gt;3</c:v>
                </c:pt>
                <c:pt idx="1">
                  <c:v>20-&gt;10</c:v>
                </c:pt>
                <c:pt idx="2">
                  <c:v>10-&gt;5</c:v>
                </c:pt>
                <c:pt idx="3">
                  <c:v>30-&gt;15</c:v>
                </c:pt>
                <c:pt idx="4">
                  <c:v>30-&gt;10</c:v>
                </c:pt>
                <c:pt idx="5">
                  <c:v>10-&gt;3</c:v>
                </c:pt>
                <c:pt idx="6">
                  <c:v>20-&gt;5</c:v>
                </c:pt>
                <c:pt idx="7">
                  <c:v>30-&gt;5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Ratio (X÷Y)'!$E$2:$E$11</c:f>
              <c:numCache>
                <c:formatCode>0.0</c:formatCode>
                <c:ptCount val="10"/>
                <c:pt idx="0">
                  <c:v>42.1642253521127</c:v>
                </c:pt>
                <c:pt idx="1">
                  <c:v>60.5711428571429</c:v>
                </c:pt>
                <c:pt idx="2">
                  <c:v>56.2177464788732</c:v>
                </c:pt>
                <c:pt idx="3">
                  <c:v>44.1965079365079</c:v>
                </c:pt>
                <c:pt idx="4">
                  <c:v>40.1382258064516</c:v>
                </c:pt>
                <c:pt idx="5">
                  <c:v>54.0501408450704</c:v>
                </c:pt>
                <c:pt idx="6">
                  <c:v>50.3831506849315</c:v>
                </c:pt>
                <c:pt idx="7">
                  <c:v>32.3193548387097</c:v>
                </c:pt>
                <c:pt idx="8">
                  <c:v>45.6837037037037</c:v>
                </c:pt>
                <c:pt idx="9">
                  <c:v>38.8696428571429</c:v>
                </c:pt>
              </c:numCache>
            </c:numRef>
          </c:val>
        </c:ser>
        <c:gapWidth val="150"/>
        <c:overlap val="0"/>
        <c:axId val="61732690"/>
        <c:axId val="49469323"/>
      </c:barChart>
      <c:catAx>
        <c:axId val="61732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69323"/>
        <c:crosses val="autoZero"/>
        <c:auto val="1"/>
        <c:lblAlgn val="ctr"/>
        <c:lblOffset val="100"/>
        <c:noMultiLvlLbl val="0"/>
      </c:catAx>
      <c:valAx>
        <c:axId val="4946932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326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filtering ratio: Win vs Unfiltered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Ratio (X÷Y)'!F1</c:f>
              <c:strCache>
                <c:ptCount val="1"/>
                <c:pt idx="0">
                  <c:v>Win vs Unfiltered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Ratio (X÷Y)'!$A$2:$A$11</c:f>
              <c:strCache>
                <c:ptCount val="10"/>
                <c:pt idx="0">
                  <c:v>5-&gt;3</c:v>
                </c:pt>
                <c:pt idx="1">
                  <c:v>20-&gt;10</c:v>
                </c:pt>
                <c:pt idx="2">
                  <c:v>10-&gt;5</c:v>
                </c:pt>
                <c:pt idx="3">
                  <c:v>30-&gt;15</c:v>
                </c:pt>
                <c:pt idx="4">
                  <c:v>30-&gt;10</c:v>
                </c:pt>
                <c:pt idx="5">
                  <c:v>10-&gt;3</c:v>
                </c:pt>
                <c:pt idx="6">
                  <c:v>20-&gt;5</c:v>
                </c:pt>
                <c:pt idx="7">
                  <c:v>30-&gt;5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Ratio (X÷Y)'!$F$2:$F$11</c:f>
              <c:numCache>
                <c:formatCode>0.0</c:formatCode>
                <c:ptCount val="10"/>
                <c:pt idx="0">
                  <c:v>40.7407407407407</c:v>
                </c:pt>
                <c:pt idx="1">
                  <c:v>81.4814814814815</c:v>
                </c:pt>
                <c:pt idx="2">
                  <c:v>77.7777777777778</c:v>
                </c:pt>
                <c:pt idx="3">
                  <c:v>40.7407407407407</c:v>
                </c:pt>
                <c:pt idx="4">
                  <c:v>33.3333333333333</c:v>
                </c:pt>
                <c:pt idx="5">
                  <c:v>74.0740740740741</c:v>
                </c:pt>
                <c:pt idx="6">
                  <c:v>74.0740740740741</c:v>
                </c:pt>
                <c:pt idx="7">
                  <c:v>18.5185185185185</c:v>
                </c:pt>
                <c:pt idx="8">
                  <c:v>0</c:v>
                </c:pt>
                <c:pt idx="9">
                  <c:v>29.6296296296296</c:v>
                </c:pt>
              </c:numCache>
            </c:numRef>
          </c:val>
        </c:ser>
        <c:gapWidth val="150"/>
        <c:overlap val="0"/>
        <c:axId val="41893889"/>
        <c:axId val="22542471"/>
      </c:barChart>
      <c:catAx>
        <c:axId val="41893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42471"/>
        <c:crosses val="autoZero"/>
        <c:auto val="1"/>
        <c:lblAlgn val="ctr"/>
        <c:lblOffset val="100"/>
        <c:noMultiLvlLbl val="0"/>
      </c:catAx>
      <c:valAx>
        <c:axId val="2254247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938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filtering ratio: CV (%) — lower is steadier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Ratio (X÷Y)'!G1</c:f>
              <c:strCache>
                <c:ptCount val="1"/>
                <c:pt idx="0">
                  <c:v>CV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Ratio (X÷Y)'!$A$2:$A$11</c:f>
              <c:strCache>
                <c:ptCount val="10"/>
                <c:pt idx="0">
                  <c:v>5-&gt;3</c:v>
                </c:pt>
                <c:pt idx="1">
                  <c:v>20-&gt;10</c:v>
                </c:pt>
                <c:pt idx="2">
                  <c:v>10-&gt;5</c:v>
                </c:pt>
                <c:pt idx="3">
                  <c:v>30-&gt;15</c:v>
                </c:pt>
                <c:pt idx="4">
                  <c:v>30-&gt;10</c:v>
                </c:pt>
                <c:pt idx="5">
                  <c:v>10-&gt;3</c:v>
                </c:pt>
                <c:pt idx="6">
                  <c:v>20-&gt;5</c:v>
                </c:pt>
                <c:pt idx="7">
                  <c:v>30-&gt;5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Ratio (X÷Y)'!$G$2:$G$11</c:f>
              <c:numCache>
                <c:formatCode>0.0</c:formatCode>
                <c:ptCount val="10"/>
                <c:pt idx="0">
                  <c:v>26.2627094350038</c:v>
                </c:pt>
                <c:pt idx="1">
                  <c:v>30.4773153426367</c:v>
                </c:pt>
                <c:pt idx="2">
                  <c:v>42.3674823770057</c:v>
                </c:pt>
                <c:pt idx="3">
                  <c:v>43.1791480794446</c:v>
                </c:pt>
                <c:pt idx="4">
                  <c:v>43.2939974705139</c:v>
                </c:pt>
                <c:pt idx="5">
                  <c:v>51.3943695785893</c:v>
                </c:pt>
                <c:pt idx="6">
                  <c:v>52.5852002385373</c:v>
                </c:pt>
                <c:pt idx="7">
                  <c:v>43.6476799888317</c:v>
                </c:pt>
                <c:pt idx="8">
                  <c:v>27.096210517136</c:v>
                </c:pt>
                <c:pt idx="9">
                  <c:v>45.6344499360218</c:v>
                </c:pt>
              </c:numCache>
            </c:numRef>
          </c:val>
        </c:ser>
        <c:gapWidth val="150"/>
        <c:overlap val="0"/>
        <c:axId val="24460912"/>
        <c:axId val="45219577"/>
      </c:barChart>
      <c:catAx>
        <c:axId val="2446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19577"/>
        <c:crosses val="autoZero"/>
        <c:auto val="1"/>
        <c:lblAlgn val="ctr"/>
        <c:lblOffset val="100"/>
        <c:noMultiLvlLbl val="0"/>
      </c:catAx>
      <c:valAx>
        <c:axId val="4521957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4609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initial size X: Mean ROI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Initial Size (X)'!E1</c:f>
              <c:strCache>
                <c:ptCount val="1"/>
                <c:pt idx="0">
                  <c:v>Mean ROI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Initial Size (X)'!$A$2:$A$11</c:f>
              <c:strCache>
                <c:ptCount val="10"/>
                <c:pt idx="0">
                  <c:v>5-&gt;3</c:v>
                </c:pt>
                <c:pt idx="1">
                  <c:v>10-&gt;3</c:v>
                </c:pt>
                <c:pt idx="2">
                  <c:v>10-&gt;5</c:v>
                </c:pt>
                <c:pt idx="3">
                  <c:v>20-&gt;5</c:v>
                </c:pt>
                <c:pt idx="4">
                  <c:v>20-&gt;10</c:v>
                </c:pt>
                <c:pt idx="5">
                  <c:v>30-&gt;5</c:v>
                </c:pt>
                <c:pt idx="6">
                  <c:v>30-&gt;10</c:v>
                </c:pt>
                <c:pt idx="7">
                  <c:v>30-&gt;15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Initial Size (X)'!$E$2:$E$11</c:f>
              <c:numCache>
                <c:formatCode>0.0</c:formatCode>
                <c:ptCount val="10"/>
                <c:pt idx="0">
                  <c:v>42.1642253521127</c:v>
                </c:pt>
                <c:pt idx="1">
                  <c:v>54.0501408450704</c:v>
                </c:pt>
                <c:pt idx="2">
                  <c:v>56.2177464788732</c:v>
                </c:pt>
                <c:pt idx="3">
                  <c:v>50.3831506849315</c:v>
                </c:pt>
                <c:pt idx="4">
                  <c:v>60.5711428571429</c:v>
                </c:pt>
                <c:pt idx="5">
                  <c:v>32.3193548387097</c:v>
                </c:pt>
                <c:pt idx="6">
                  <c:v>40.1382258064516</c:v>
                </c:pt>
                <c:pt idx="7">
                  <c:v>44.1965079365079</c:v>
                </c:pt>
                <c:pt idx="8">
                  <c:v>45.6837037037037</c:v>
                </c:pt>
                <c:pt idx="9">
                  <c:v>38.8696428571429</c:v>
                </c:pt>
              </c:numCache>
            </c:numRef>
          </c:val>
        </c:ser>
        <c:gapWidth val="150"/>
        <c:overlap val="0"/>
        <c:axId val="42299848"/>
        <c:axId val="82030700"/>
      </c:barChart>
      <c:catAx>
        <c:axId val="4229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30700"/>
        <c:crosses val="autoZero"/>
        <c:auto val="1"/>
        <c:lblAlgn val="ctr"/>
        <c:lblOffset val="100"/>
        <c:noMultiLvlLbl val="0"/>
      </c:catAx>
      <c:valAx>
        <c:axId val="8203070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2998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initial size X: Win vs Unfiltered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Initial Size (X)'!F1</c:f>
              <c:strCache>
                <c:ptCount val="1"/>
                <c:pt idx="0">
                  <c:v>Win vs Unfiltered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Initial Size (X)'!$A$2:$A$11</c:f>
              <c:strCache>
                <c:ptCount val="10"/>
                <c:pt idx="0">
                  <c:v>5-&gt;3</c:v>
                </c:pt>
                <c:pt idx="1">
                  <c:v>10-&gt;3</c:v>
                </c:pt>
                <c:pt idx="2">
                  <c:v>10-&gt;5</c:v>
                </c:pt>
                <c:pt idx="3">
                  <c:v>20-&gt;5</c:v>
                </c:pt>
                <c:pt idx="4">
                  <c:v>20-&gt;10</c:v>
                </c:pt>
                <c:pt idx="5">
                  <c:v>30-&gt;5</c:v>
                </c:pt>
                <c:pt idx="6">
                  <c:v>30-&gt;10</c:v>
                </c:pt>
                <c:pt idx="7">
                  <c:v>30-&gt;15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Initial Size (X)'!$F$2:$F$11</c:f>
              <c:numCache>
                <c:formatCode>0.0</c:formatCode>
                <c:ptCount val="10"/>
                <c:pt idx="0">
                  <c:v>40.7407407407407</c:v>
                </c:pt>
                <c:pt idx="1">
                  <c:v>74.0740740740741</c:v>
                </c:pt>
                <c:pt idx="2">
                  <c:v>77.7777777777778</c:v>
                </c:pt>
                <c:pt idx="3">
                  <c:v>74.0740740740741</c:v>
                </c:pt>
                <c:pt idx="4">
                  <c:v>81.4814814814815</c:v>
                </c:pt>
                <c:pt idx="5">
                  <c:v>18.5185185185185</c:v>
                </c:pt>
                <c:pt idx="6">
                  <c:v>33.3333333333333</c:v>
                </c:pt>
                <c:pt idx="7">
                  <c:v>40.7407407407407</c:v>
                </c:pt>
                <c:pt idx="8">
                  <c:v>0</c:v>
                </c:pt>
                <c:pt idx="9">
                  <c:v>29.6296296296296</c:v>
                </c:pt>
              </c:numCache>
            </c:numRef>
          </c:val>
        </c:ser>
        <c:gapWidth val="150"/>
        <c:overlap val="0"/>
        <c:axId val="94450238"/>
        <c:axId val="4176094"/>
      </c:barChart>
      <c:catAx>
        <c:axId val="94450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6094"/>
        <c:crosses val="autoZero"/>
        <c:auto val="1"/>
        <c:lblAlgn val="ctr"/>
        <c:lblOffset val="100"/>
        <c:noMultiLvlLbl val="0"/>
      </c:catAx>
      <c:valAx>
        <c:axId val="417609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502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initial size X: CV (%) — lower is steadier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Initial Size (X)'!G1</c:f>
              <c:strCache>
                <c:ptCount val="1"/>
                <c:pt idx="0">
                  <c:v>CV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Initial Size (X)'!$A$2:$A$11</c:f>
              <c:strCache>
                <c:ptCount val="10"/>
                <c:pt idx="0">
                  <c:v>5-&gt;3</c:v>
                </c:pt>
                <c:pt idx="1">
                  <c:v>10-&gt;3</c:v>
                </c:pt>
                <c:pt idx="2">
                  <c:v>10-&gt;5</c:v>
                </c:pt>
                <c:pt idx="3">
                  <c:v>20-&gt;5</c:v>
                </c:pt>
                <c:pt idx="4">
                  <c:v>20-&gt;10</c:v>
                </c:pt>
                <c:pt idx="5">
                  <c:v>30-&gt;5</c:v>
                </c:pt>
                <c:pt idx="6">
                  <c:v>30-&gt;10</c:v>
                </c:pt>
                <c:pt idx="7">
                  <c:v>30-&gt;15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Initial Size (X)'!$G$2:$G$11</c:f>
              <c:numCache>
                <c:formatCode>0.0</c:formatCode>
                <c:ptCount val="10"/>
                <c:pt idx="0">
                  <c:v>26.2627094350038</c:v>
                </c:pt>
                <c:pt idx="1">
                  <c:v>51.3943695785893</c:v>
                </c:pt>
                <c:pt idx="2">
                  <c:v>42.3674823770057</c:v>
                </c:pt>
                <c:pt idx="3">
                  <c:v>52.5852002385373</c:v>
                </c:pt>
                <c:pt idx="4">
                  <c:v>30.4773153426367</c:v>
                </c:pt>
                <c:pt idx="5">
                  <c:v>43.6476799888317</c:v>
                </c:pt>
                <c:pt idx="6">
                  <c:v>43.2939974705139</c:v>
                </c:pt>
                <c:pt idx="7">
                  <c:v>43.1791480794446</c:v>
                </c:pt>
                <c:pt idx="8">
                  <c:v>27.096210517136</c:v>
                </c:pt>
                <c:pt idx="9">
                  <c:v>45.6344499360218</c:v>
                </c:pt>
              </c:numCache>
            </c:numRef>
          </c:val>
        </c:ser>
        <c:gapWidth val="150"/>
        <c:overlap val="0"/>
        <c:axId val="35154782"/>
        <c:axId val="26336720"/>
      </c:barChart>
      <c:catAx>
        <c:axId val="35154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336720"/>
        <c:crosses val="autoZero"/>
        <c:auto val="1"/>
        <c:lblAlgn val="ctr"/>
        <c:lblOffset val="100"/>
        <c:noMultiLvlLbl val="0"/>
      </c:catAx>
      <c:valAx>
        <c:axId val="263367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154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final size Y: Mean ROI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Final Size (Y)'!E1</c:f>
              <c:strCache>
                <c:ptCount val="1"/>
                <c:pt idx="0">
                  <c:v>Mean ROI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Final Size (Y)'!$A$2:$A$11</c:f>
              <c:strCache>
                <c:ptCount val="10"/>
                <c:pt idx="0">
                  <c:v>5-&gt;3</c:v>
                </c:pt>
                <c:pt idx="1">
                  <c:v>10-&gt;3</c:v>
                </c:pt>
                <c:pt idx="2">
                  <c:v>10-&gt;5</c:v>
                </c:pt>
                <c:pt idx="3">
                  <c:v>20-&gt;5</c:v>
                </c:pt>
                <c:pt idx="4">
                  <c:v>30-&gt;5</c:v>
                </c:pt>
                <c:pt idx="5">
                  <c:v>20-&gt;10</c:v>
                </c:pt>
                <c:pt idx="6">
                  <c:v>30-&gt;10</c:v>
                </c:pt>
                <c:pt idx="7">
                  <c:v>30-&gt;15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Final Size (Y)'!$E$2:$E$11</c:f>
              <c:numCache>
                <c:formatCode>0.0</c:formatCode>
                <c:ptCount val="10"/>
                <c:pt idx="0">
                  <c:v>42.1642253521127</c:v>
                </c:pt>
                <c:pt idx="1">
                  <c:v>54.0501408450704</c:v>
                </c:pt>
                <c:pt idx="2">
                  <c:v>56.2177464788732</c:v>
                </c:pt>
                <c:pt idx="3">
                  <c:v>50.3831506849315</c:v>
                </c:pt>
                <c:pt idx="4">
                  <c:v>32.3193548387097</c:v>
                </c:pt>
                <c:pt idx="5">
                  <c:v>60.5711428571429</c:v>
                </c:pt>
                <c:pt idx="6">
                  <c:v>40.1382258064516</c:v>
                </c:pt>
                <c:pt idx="7">
                  <c:v>44.1965079365079</c:v>
                </c:pt>
                <c:pt idx="8">
                  <c:v>45.6837037037037</c:v>
                </c:pt>
                <c:pt idx="9">
                  <c:v>38.8696428571429</c:v>
                </c:pt>
              </c:numCache>
            </c:numRef>
          </c:val>
        </c:ser>
        <c:gapWidth val="150"/>
        <c:overlap val="0"/>
        <c:axId val="77284279"/>
        <c:axId val="56129716"/>
      </c:barChart>
      <c:catAx>
        <c:axId val="77284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129716"/>
        <c:crosses val="autoZero"/>
        <c:auto val="1"/>
        <c:lblAlgn val="ctr"/>
        <c:lblOffset val="100"/>
        <c:noMultiLvlLbl val="0"/>
      </c:catAx>
      <c:valAx>
        <c:axId val="5612971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2842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final size Y: Win vs Unfiltered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Final Size (Y)'!F1</c:f>
              <c:strCache>
                <c:ptCount val="1"/>
                <c:pt idx="0">
                  <c:v>Win vs Unfiltered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Final Size (Y)'!$A$2:$A$11</c:f>
              <c:strCache>
                <c:ptCount val="10"/>
                <c:pt idx="0">
                  <c:v>5-&gt;3</c:v>
                </c:pt>
                <c:pt idx="1">
                  <c:v>10-&gt;3</c:v>
                </c:pt>
                <c:pt idx="2">
                  <c:v>10-&gt;5</c:v>
                </c:pt>
                <c:pt idx="3">
                  <c:v>20-&gt;5</c:v>
                </c:pt>
                <c:pt idx="4">
                  <c:v>30-&gt;5</c:v>
                </c:pt>
                <c:pt idx="5">
                  <c:v>20-&gt;10</c:v>
                </c:pt>
                <c:pt idx="6">
                  <c:v>30-&gt;10</c:v>
                </c:pt>
                <c:pt idx="7">
                  <c:v>30-&gt;15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Final Size (Y)'!$F$2:$F$11</c:f>
              <c:numCache>
                <c:formatCode>0.0</c:formatCode>
                <c:ptCount val="10"/>
                <c:pt idx="0">
                  <c:v>40.7407407407407</c:v>
                </c:pt>
                <c:pt idx="1">
                  <c:v>74.0740740740741</c:v>
                </c:pt>
                <c:pt idx="2">
                  <c:v>77.7777777777778</c:v>
                </c:pt>
                <c:pt idx="3">
                  <c:v>74.0740740740741</c:v>
                </c:pt>
                <c:pt idx="4">
                  <c:v>18.5185185185185</c:v>
                </c:pt>
                <c:pt idx="5">
                  <c:v>81.4814814814815</c:v>
                </c:pt>
                <c:pt idx="6">
                  <c:v>33.3333333333333</c:v>
                </c:pt>
                <c:pt idx="7">
                  <c:v>40.7407407407407</c:v>
                </c:pt>
                <c:pt idx="8">
                  <c:v>0</c:v>
                </c:pt>
                <c:pt idx="9">
                  <c:v>29.6296296296296</c:v>
                </c:pt>
              </c:numCache>
            </c:numRef>
          </c:val>
        </c:ser>
        <c:gapWidth val="150"/>
        <c:overlap val="0"/>
        <c:axId val="35711693"/>
        <c:axId val="47385992"/>
      </c:barChart>
      <c:catAx>
        <c:axId val="35711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385992"/>
        <c:crosses val="autoZero"/>
        <c:auto val="1"/>
        <c:lblAlgn val="ctr"/>
        <c:lblOffset val="100"/>
        <c:noMultiLvlLbl val="0"/>
      </c:catAx>
      <c:valAx>
        <c:axId val="4738599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7116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By final size Y: CV (%) — lower is steadier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Final Size (Y)'!G1</c:f>
              <c:strCache>
                <c:ptCount val="1"/>
                <c:pt idx="0">
                  <c:v>CV (%)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Final Size (Y)'!$A$2:$A$11</c:f>
              <c:strCache>
                <c:ptCount val="10"/>
                <c:pt idx="0">
                  <c:v>5-&gt;3</c:v>
                </c:pt>
                <c:pt idx="1">
                  <c:v>10-&gt;3</c:v>
                </c:pt>
                <c:pt idx="2">
                  <c:v>10-&gt;5</c:v>
                </c:pt>
                <c:pt idx="3">
                  <c:v>20-&gt;5</c:v>
                </c:pt>
                <c:pt idx="4">
                  <c:v>30-&gt;5</c:v>
                </c:pt>
                <c:pt idx="5">
                  <c:v>20-&gt;10</c:v>
                </c:pt>
                <c:pt idx="6">
                  <c:v>30-&gt;10</c:v>
                </c:pt>
                <c:pt idx="7">
                  <c:v>30-&gt;15</c:v>
                </c:pt>
                <c:pt idx="8">
                  <c:v>unfiltered</c:v>
                </c:pt>
                <c:pt idx="9">
                  <c:v>ranked_final</c:v>
                </c:pt>
              </c:strCache>
            </c:strRef>
          </c:cat>
          <c:val>
            <c:numRef>
              <c:f>'By Final Size (Y)'!$G$2:$G$11</c:f>
              <c:numCache>
                <c:formatCode>0.0</c:formatCode>
                <c:ptCount val="10"/>
                <c:pt idx="0">
                  <c:v>26.2627094350038</c:v>
                </c:pt>
                <c:pt idx="1">
                  <c:v>51.3943695785893</c:v>
                </c:pt>
                <c:pt idx="2">
                  <c:v>42.3674823770057</c:v>
                </c:pt>
                <c:pt idx="3">
                  <c:v>52.5852002385373</c:v>
                </c:pt>
                <c:pt idx="4">
                  <c:v>43.6476799888317</c:v>
                </c:pt>
                <c:pt idx="5">
                  <c:v>30.4773153426367</c:v>
                </c:pt>
                <c:pt idx="6">
                  <c:v>43.2939974705139</c:v>
                </c:pt>
                <c:pt idx="7">
                  <c:v>43.1791480794446</c:v>
                </c:pt>
                <c:pt idx="8">
                  <c:v>27.096210517136</c:v>
                </c:pt>
                <c:pt idx="9">
                  <c:v>45.6344499360218</c:v>
                </c:pt>
              </c:numCache>
            </c:numRef>
          </c:val>
        </c:ser>
        <c:gapWidth val="150"/>
        <c:overlap val="0"/>
        <c:axId val="53050679"/>
        <c:axId val="9066408"/>
      </c:barChart>
      <c:catAx>
        <c:axId val="5305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66408"/>
        <c:crosses val="autoZero"/>
        <c:auto val="1"/>
        <c:lblAlgn val="ctr"/>
        <c:lblOffset val="100"/>
        <c:noMultiLvlLbl val="0"/>
      </c:catAx>
      <c:valAx>
        <c:axId val="906640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0506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18</xdr:col>
      <xdr:colOff>255960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7119000" y="302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18</xdr:col>
      <xdr:colOff>255960</xdr:colOff>
      <xdr:row>32</xdr:row>
      <xdr:rowOff>32400</xdr:rowOff>
    </xdr:to>
    <xdr:graphicFrame>
      <xdr:nvGraphicFramePr>
        <xdr:cNvPr id="2" name="Chart 2"/>
        <xdr:cNvGraphicFramePr/>
      </xdr:nvGraphicFramePr>
      <xdr:xfrm>
        <a:off x="7119000" y="3541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18</xdr:col>
      <xdr:colOff>255960</xdr:colOff>
      <xdr:row>49</xdr:row>
      <xdr:rowOff>32760</xdr:rowOff>
    </xdr:to>
    <xdr:graphicFrame>
      <xdr:nvGraphicFramePr>
        <xdr:cNvPr id="3" name="Chart 3"/>
        <xdr:cNvGraphicFramePr/>
      </xdr:nvGraphicFramePr>
      <xdr:xfrm>
        <a:off x="7119000" y="6779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13</xdr:row>
      <xdr:rowOff>0</xdr:rowOff>
    </xdr:from>
    <xdr:to>
      <xdr:col>18</xdr:col>
      <xdr:colOff>235800</xdr:colOff>
      <xdr:row>46</xdr:row>
      <xdr:rowOff>142200</xdr:rowOff>
    </xdr:to>
    <xdr:pic>
      <xdr:nvPicPr>
        <xdr:cNvPr id="4" name="Image 4" descr="Picture"/>
        <xdr:cNvPicPr/>
      </xdr:nvPicPr>
      <xdr:blipFill>
        <a:blip r:embed="rId4"/>
        <a:stretch/>
      </xdr:blipFill>
      <xdr:spPr>
        <a:xfrm>
          <a:off x="0" y="2588760"/>
          <a:ext cx="12858480" cy="642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18</xdr:col>
      <xdr:colOff>255960</xdr:colOff>
      <xdr:row>15</xdr:row>
      <xdr:rowOff>32400</xdr:rowOff>
    </xdr:to>
    <xdr:graphicFrame>
      <xdr:nvGraphicFramePr>
        <xdr:cNvPr id="5" name="Chart 1"/>
        <xdr:cNvGraphicFramePr/>
      </xdr:nvGraphicFramePr>
      <xdr:xfrm>
        <a:off x="7119000" y="302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18</xdr:col>
      <xdr:colOff>255960</xdr:colOff>
      <xdr:row>32</xdr:row>
      <xdr:rowOff>32400</xdr:rowOff>
    </xdr:to>
    <xdr:graphicFrame>
      <xdr:nvGraphicFramePr>
        <xdr:cNvPr id="6" name="Chart 2"/>
        <xdr:cNvGraphicFramePr/>
      </xdr:nvGraphicFramePr>
      <xdr:xfrm>
        <a:off x="7119000" y="3541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18</xdr:col>
      <xdr:colOff>255960</xdr:colOff>
      <xdr:row>49</xdr:row>
      <xdr:rowOff>32760</xdr:rowOff>
    </xdr:to>
    <xdr:graphicFrame>
      <xdr:nvGraphicFramePr>
        <xdr:cNvPr id="7" name="Chart 3"/>
        <xdr:cNvGraphicFramePr/>
      </xdr:nvGraphicFramePr>
      <xdr:xfrm>
        <a:off x="7119000" y="6779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13</xdr:row>
      <xdr:rowOff>0</xdr:rowOff>
    </xdr:from>
    <xdr:to>
      <xdr:col>18</xdr:col>
      <xdr:colOff>235800</xdr:colOff>
      <xdr:row>46</xdr:row>
      <xdr:rowOff>142200</xdr:rowOff>
    </xdr:to>
    <xdr:pic>
      <xdr:nvPicPr>
        <xdr:cNvPr id="8" name="Image 4" descr="Picture"/>
        <xdr:cNvPicPr/>
      </xdr:nvPicPr>
      <xdr:blipFill>
        <a:blip r:embed="rId4"/>
        <a:stretch/>
      </xdr:blipFill>
      <xdr:spPr>
        <a:xfrm>
          <a:off x="0" y="2588760"/>
          <a:ext cx="12858480" cy="642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18</xdr:col>
      <xdr:colOff>255960</xdr:colOff>
      <xdr:row>15</xdr:row>
      <xdr:rowOff>32400</xdr:rowOff>
    </xdr:to>
    <xdr:graphicFrame>
      <xdr:nvGraphicFramePr>
        <xdr:cNvPr id="9" name="Chart 1"/>
        <xdr:cNvGraphicFramePr/>
      </xdr:nvGraphicFramePr>
      <xdr:xfrm>
        <a:off x="7119000" y="3027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18</xdr:col>
      <xdr:colOff>255960</xdr:colOff>
      <xdr:row>32</xdr:row>
      <xdr:rowOff>32400</xdr:rowOff>
    </xdr:to>
    <xdr:graphicFrame>
      <xdr:nvGraphicFramePr>
        <xdr:cNvPr id="10" name="Chart 2"/>
        <xdr:cNvGraphicFramePr/>
      </xdr:nvGraphicFramePr>
      <xdr:xfrm>
        <a:off x="7119000" y="3541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0</xdr:rowOff>
    </xdr:from>
    <xdr:to>
      <xdr:col>18</xdr:col>
      <xdr:colOff>255960</xdr:colOff>
      <xdr:row>49</xdr:row>
      <xdr:rowOff>32760</xdr:rowOff>
    </xdr:to>
    <xdr:graphicFrame>
      <xdr:nvGraphicFramePr>
        <xdr:cNvPr id="11" name="Chart 3"/>
        <xdr:cNvGraphicFramePr/>
      </xdr:nvGraphicFramePr>
      <xdr:xfrm>
        <a:off x="7119000" y="6779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13</xdr:row>
      <xdr:rowOff>0</xdr:rowOff>
    </xdr:from>
    <xdr:to>
      <xdr:col>18</xdr:col>
      <xdr:colOff>235800</xdr:colOff>
      <xdr:row>46</xdr:row>
      <xdr:rowOff>142200</xdr:rowOff>
    </xdr:to>
    <xdr:pic>
      <xdr:nvPicPr>
        <xdr:cNvPr id="12" name="Image 4" descr="Picture"/>
        <xdr:cNvPicPr/>
      </xdr:nvPicPr>
      <xdr:blipFill>
        <a:blip r:embed="rId4"/>
        <a:stretch/>
      </xdr:blipFill>
      <xdr:spPr>
        <a:xfrm>
          <a:off x="0" y="2588760"/>
          <a:ext cx="12858480" cy="642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4" min="10" style="0" width="9"/>
    <col collapsed="false" customWidth="true" hidden="false" outlineLevel="0" max="15" min="15" style="0" width="8"/>
    <col collapsed="false" customWidth="true" hidden="false" outlineLevel="0" max="16" min="16" style="0" width="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n">
        <v>20</v>
      </c>
      <c r="C2" s="3" t="n">
        <v>10</v>
      </c>
      <c r="D2" s="4" t="n">
        <f aca="false">B2/C2</f>
        <v>2</v>
      </c>
      <c r="E2" s="3" t="n">
        <f aca="false">B2-C2</f>
        <v>10</v>
      </c>
      <c r="F2" s="3" t="n">
        <f aca="false">COUNT('Raw (GPT-5.1)'!$D$2:$D$71)</f>
        <v>70</v>
      </c>
      <c r="G2" s="5" t="n">
        <f aca="false">AVERAGE('Raw (GPT-5.1)'!$D$2:$D$71)</f>
        <v>60.5711428571429</v>
      </c>
      <c r="H2" s="5" t="n">
        <f aca="false">STDEV('Raw (GPT-5.1)'!$D$2:$D$71)/ABS(G2)*100</f>
        <v>30.4773153426367</v>
      </c>
      <c r="I2" s="5" t="n">
        <f aca="false">AVERAGEIF('Matched (win calc)'!$A$2:$A$244,A2,'Matched (win calc)'!$F$2:$F$244)*100</f>
        <v>81.4814814814815</v>
      </c>
      <c r="J2" s="5" t="n">
        <f aca="false">MIN('Raw (GPT-5.1)'!$D$2:$D$71)</f>
        <v>28.95</v>
      </c>
      <c r="K2" s="5" t="n">
        <f aca="false">QUARTILE('Raw (GPT-5.1)'!$D$2:$D$71,1)</f>
        <v>49.6925</v>
      </c>
      <c r="L2" s="5" t="n">
        <f aca="false">MEDIAN('Raw (GPT-5.1)'!$D$2:$D$71)</f>
        <v>56.955</v>
      </c>
      <c r="M2" s="5" t="n">
        <f aca="false">QUARTILE('Raw (GPT-5.1)'!$D$2:$D$71,3)</f>
        <v>68.1725</v>
      </c>
      <c r="N2" s="5" t="n">
        <f aca="false">MAX('Raw (GPT-5.1)'!$D$2:$D$71)</f>
        <v>112.38</v>
      </c>
      <c r="O2" s="5" t="n">
        <f aca="false">M2-K2</f>
        <v>18.48</v>
      </c>
      <c r="P2" s="3" t="n">
        <f aca="false">COUNTIF('Raw (GPT-5.1)'!$D$2:$D$71,"&lt;"&amp;(K2-1.5*O2))+COUNTIF('Raw (GPT-5.1)'!$D$2:$D$71,"&gt;"&amp;(M2+1.5*O2))</f>
        <v>4</v>
      </c>
    </row>
    <row r="3" customFormat="false" ht="15" hidden="false" customHeight="false" outlineLevel="0" collapsed="false">
      <c r="A3" s="2" t="s">
        <v>17</v>
      </c>
      <c r="B3" s="3" t="n">
        <v>10</v>
      </c>
      <c r="C3" s="3" t="n">
        <v>5</v>
      </c>
      <c r="D3" s="4" t="n">
        <f aca="false">B3/C3</f>
        <v>2</v>
      </c>
      <c r="E3" s="3" t="n">
        <f aca="false">B3-C3</f>
        <v>5</v>
      </c>
      <c r="F3" s="3" t="n">
        <f aca="false">COUNT('Raw (GPT-5.1)'!$D$72:$D$142)</f>
        <v>71</v>
      </c>
      <c r="G3" s="5" t="n">
        <f aca="false">AVERAGE('Raw (GPT-5.1)'!$D$72:$D$142)</f>
        <v>56.2177464788732</v>
      </c>
      <c r="H3" s="5" t="n">
        <f aca="false">STDEV('Raw (GPT-5.1)'!$D$72:$D$142)/ABS(G3)*100</f>
        <v>42.3674823770057</v>
      </c>
      <c r="I3" s="5" t="n">
        <f aca="false">AVERAGEIF('Matched (win calc)'!$A$2:$A$244,A3,'Matched (win calc)'!$F$2:$F$244)*100</f>
        <v>77.7777777777778</v>
      </c>
      <c r="J3" s="5" t="n">
        <f aca="false">MIN('Raw (GPT-5.1)'!$D$72:$D$142)</f>
        <v>8.39</v>
      </c>
      <c r="K3" s="5" t="n">
        <f aca="false">QUARTILE('Raw (GPT-5.1)'!$D$72:$D$142,1)</f>
        <v>35.22</v>
      </c>
      <c r="L3" s="5" t="n">
        <f aca="false">MEDIAN('Raw (GPT-5.1)'!$D$72:$D$142)</f>
        <v>52.43</v>
      </c>
      <c r="M3" s="5" t="n">
        <f aca="false">QUARTILE('Raw (GPT-5.1)'!$D$72:$D$142,3)</f>
        <v>70.55</v>
      </c>
      <c r="N3" s="5" t="n">
        <f aca="false">MAX('Raw (GPT-5.1)'!$D$72:$D$142)</f>
        <v>129.21</v>
      </c>
      <c r="O3" s="5" t="n">
        <f aca="false">M3-K3</f>
        <v>35.33</v>
      </c>
      <c r="P3" s="3" t="n">
        <f aca="false">COUNTIF('Raw (GPT-5.1)'!$D$72:$D$142,"&lt;"&amp;(K3-1.5*O3))+COUNTIF('Raw (GPT-5.1)'!$D$72:$D$142,"&gt;"&amp;(M3+1.5*O3))</f>
        <v>3</v>
      </c>
    </row>
    <row r="4" customFormat="false" ht="15" hidden="false" customHeight="false" outlineLevel="0" collapsed="false">
      <c r="A4" s="2" t="s">
        <v>18</v>
      </c>
      <c r="B4" s="3" t="n">
        <v>10</v>
      </c>
      <c r="C4" s="3" t="n">
        <v>3</v>
      </c>
      <c r="D4" s="4" t="n">
        <f aca="false">B4/C4</f>
        <v>3.33333333333333</v>
      </c>
      <c r="E4" s="3" t="n">
        <f aca="false">B4-C4</f>
        <v>7</v>
      </c>
      <c r="F4" s="3" t="n">
        <f aca="false">COUNT('Raw (GPT-5.1)'!$D$143:$D$213)</f>
        <v>71</v>
      </c>
      <c r="G4" s="5" t="n">
        <f aca="false">AVERAGE('Raw (GPT-5.1)'!$D$143:$D$213)</f>
        <v>54.0501408450704</v>
      </c>
      <c r="H4" s="5" t="n">
        <f aca="false">STDEV('Raw (GPT-5.1)'!$D$143:$D$213)/ABS(G4)*100</f>
        <v>51.3943695785893</v>
      </c>
      <c r="I4" s="5" t="n">
        <f aca="false">AVERAGEIF('Matched (win calc)'!$A$2:$A$244,A4,'Matched (win calc)'!$F$2:$F$244)*100</f>
        <v>74.0740740740741</v>
      </c>
      <c r="J4" s="5" t="n">
        <f aca="false">MIN('Raw (GPT-5.1)'!$D$143:$D$213)</f>
        <v>29.35</v>
      </c>
      <c r="K4" s="5" t="n">
        <f aca="false">QUARTILE('Raw (GPT-5.1)'!$D$143:$D$213,1)</f>
        <v>40.1</v>
      </c>
      <c r="L4" s="5" t="n">
        <f aca="false">MEDIAN('Raw (GPT-5.1)'!$D$143:$D$213)</f>
        <v>42.93</v>
      </c>
      <c r="M4" s="5" t="n">
        <f aca="false">QUARTILE('Raw (GPT-5.1)'!$D$143:$D$213,3)</f>
        <v>56.495</v>
      </c>
      <c r="N4" s="5" t="n">
        <f aca="false">MAX('Raw (GPT-5.1)'!$D$143:$D$213)</f>
        <v>172.18</v>
      </c>
      <c r="O4" s="5" t="n">
        <f aca="false">M4-K4</f>
        <v>16.395</v>
      </c>
      <c r="P4" s="3" t="n">
        <f aca="false">COUNTIF('Raw (GPT-5.1)'!$D$143:$D$213,"&lt;"&amp;(K4-1.5*O4))+COUNTIF('Raw (GPT-5.1)'!$D$143:$D$213,"&gt;"&amp;(M4+1.5*O4))</f>
        <v>8</v>
      </c>
    </row>
    <row r="5" customFormat="false" ht="15" hidden="false" customHeight="false" outlineLevel="0" collapsed="false">
      <c r="A5" s="2" t="s">
        <v>19</v>
      </c>
      <c r="B5" s="3" t="n">
        <v>20</v>
      </c>
      <c r="C5" s="3" t="n">
        <v>5</v>
      </c>
      <c r="D5" s="4" t="n">
        <f aca="false">B5/C5</f>
        <v>4</v>
      </c>
      <c r="E5" s="3" t="n">
        <f aca="false">B5-C5</f>
        <v>15</v>
      </c>
      <c r="F5" s="3" t="n">
        <f aca="false">COUNT('Raw (GPT-5.1)'!$D$214:$D$286)</f>
        <v>73</v>
      </c>
      <c r="G5" s="5" t="n">
        <f aca="false">AVERAGE('Raw (GPT-5.1)'!$D$214:$D$286)</f>
        <v>50.3831506849315</v>
      </c>
      <c r="H5" s="5" t="n">
        <f aca="false">STDEV('Raw (GPT-5.1)'!$D$214:$D$286)/ABS(G5)*100</f>
        <v>52.5852002385373</v>
      </c>
      <c r="I5" s="5" t="n">
        <f aca="false">AVERAGEIF('Matched (win calc)'!$A$2:$A$244,A5,'Matched (win calc)'!$F$2:$F$244)*100</f>
        <v>74.0740740740741</v>
      </c>
      <c r="J5" s="5" t="n">
        <f aca="false">MIN('Raw (GPT-5.1)'!$D$214:$D$286)</f>
        <v>-37.33</v>
      </c>
      <c r="K5" s="5" t="n">
        <f aca="false">QUARTILE('Raw (GPT-5.1)'!$D$214:$D$286,1)</f>
        <v>40.5</v>
      </c>
      <c r="L5" s="5" t="n">
        <f aca="false">MEDIAN('Raw (GPT-5.1)'!$D$214:$D$286)</f>
        <v>46.87</v>
      </c>
      <c r="M5" s="5" t="n">
        <f aca="false">QUARTILE('Raw (GPT-5.1)'!$D$214:$D$286,3)</f>
        <v>60.44</v>
      </c>
      <c r="N5" s="5" t="n">
        <f aca="false">MAX('Raw (GPT-5.1)'!$D$214:$D$286)</f>
        <v>128.54</v>
      </c>
      <c r="O5" s="5" t="n">
        <f aca="false">M5-K5</f>
        <v>19.94</v>
      </c>
      <c r="P5" s="3" t="n">
        <f aca="false">COUNTIF('Raw (GPT-5.1)'!$D$214:$D$286,"&lt;"&amp;(K5-1.5*O5))+COUNTIF('Raw (GPT-5.1)'!$D$214:$D$286,"&gt;"&amp;(M5+1.5*O5))</f>
        <v>10</v>
      </c>
    </row>
    <row r="6" customFormat="false" ht="15" hidden="false" customHeight="false" outlineLevel="0" collapsed="false">
      <c r="A6" s="6" t="s">
        <v>20</v>
      </c>
      <c r="B6" s="7" t="s">
        <v>21</v>
      </c>
      <c r="C6" s="7" t="s">
        <v>21</v>
      </c>
      <c r="D6" s="8" t="s">
        <v>21</v>
      </c>
      <c r="E6" s="7" t="s">
        <v>21</v>
      </c>
      <c r="F6" s="7" t="n">
        <f aca="false">COUNT('Raw (GPT-5.1)'!$D$287:$D$313)</f>
        <v>27</v>
      </c>
      <c r="G6" s="9" t="n">
        <f aca="false">AVERAGE('Raw (GPT-5.1)'!$D$287:$D$313)</f>
        <v>45.6837037037037</v>
      </c>
      <c r="H6" s="9" t="n">
        <f aca="false">STDEV('Raw (GPT-5.1)'!$D$287:$D$313)/ABS(G6)*100</f>
        <v>27.096210517136</v>
      </c>
      <c r="I6" s="9" t="s">
        <v>22</v>
      </c>
      <c r="J6" s="9" t="n">
        <f aca="false">MIN('Raw (GPT-5.1)'!$D$287:$D$313)</f>
        <v>28.79</v>
      </c>
      <c r="K6" s="9" t="n">
        <f aca="false">QUARTILE('Raw (GPT-5.1)'!$D$287:$D$313,1)</f>
        <v>36.045</v>
      </c>
      <c r="L6" s="9" t="n">
        <f aca="false">MEDIAN('Raw (GPT-5.1)'!$D$287:$D$313)</f>
        <v>41.89</v>
      </c>
      <c r="M6" s="9" t="n">
        <f aca="false">QUARTILE('Raw (GPT-5.1)'!$D$287:$D$313,3)</f>
        <v>52.42</v>
      </c>
      <c r="N6" s="9" t="n">
        <f aca="false">MAX('Raw (GPT-5.1)'!$D$287:$D$313)</f>
        <v>72.88</v>
      </c>
      <c r="O6" s="9" t="n">
        <f aca="false">M6-K6</f>
        <v>16.375</v>
      </c>
      <c r="P6" s="7" t="n">
        <f aca="false">COUNTIF('Raw (GPT-5.1)'!$D$287:$D$313,"&lt;"&amp;(K6-1.5*O6))+COUNTIF('Raw (GPT-5.1)'!$D$287:$D$313,"&gt;"&amp;(M6+1.5*O6))</f>
        <v>0</v>
      </c>
    </row>
    <row r="7" customFormat="false" ht="15" hidden="false" customHeight="false" outlineLevel="0" collapsed="false">
      <c r="A7" s="2" t="s">
        <v>23</v>
      </c>
      <c r="B7" s="3" t="n">
        <v>30</v>
      </c>
      <c r="C7" s="3" t="n">
        <v>15</v>
      </c>
      <c r="D7" s="4" t="n">
        <f aca="false">B7/C7</f>
        <v>2</v>
      </c>
      <c r="E7" s="3" t="n">
        <f aca="false">B7-C7</f>
        <v>15</v>
      </c>
      <c r="F7" s="3" t="n">
        <f aca="false">COUNT('Raw (GPT-5.1)'!$D$314:$D$376)</f>
        <v>63</v>
      </c>
      <c r="G7" s="5" t="n">
        <f aca="false">AVERAGE('Raw (GPT-5.1)'!$D$314:$D$376)</f>
        <v>44.1965079365079</v>
      </c>
      <c r="H7" s="5" t="n">
        <f aca="false">STDEV('Raw (GPT-5.1)'!$D$314:$D$376)/ABS(G7)*100</f>
        <v>43.1791480794446</v>
      </c>
      <c r="I7" s="5" t="n">
        <f aca="false">AVERAGEIF('Matched (win calc)'!$A$2:$A$244,A7,'Matched (win calc)'!$F$2:$F$244)*100</f>
        <v>40.7407407407407</v>
      </c>
      <c r="J7" s="5" t="n">
        <f aca="false">MIN('Raw (GPT-5.1)'!$D$314:$D$376)</f>
        <v>15.04</v>
      </c>
      <c r="K7" s="5" t="n">
        <f aca="false">QUARTILE('Raw (GPT-5.1)'!$D$314:$D$376,1)</f>
        <v>32.39</v>
      </c>
      <c r="L7" s="5" t="n">
        <f aca="false">MEDIAN('Raw (GPT-5.1)'!$D$314:$D$376)</f>
        <v>41.5</v>
      </c>
      <c r="M7" s="5" t="n">
        <f aca="false">QUARTILE('Raw (GPT-5.1)'!$D$314:$D$376,3)</f>
        <v>51.46</v>
      </c>
      <c r="N7" s="5" t="n">
        <f aca="false">MAX('Raw (GPT-5.1)'!$D$314:$D$376)</f>
        <v>94.55</v>
      </c>
      <c r="O7" s="5" t="n">
        <f aca="false">M7-K7</f>
        <v>19.07</v>
      </c>
      <c r="P7" s="3" t="n">
        <f aca="false">COUNTIF('Raw (GPT-5.1)'!$D$314:$D$376,"&lt;"&amp;(K7-1.5*O7))+COUNTIF('Raw (GPT-5.1)'!$D$314:$D$376,"&gt;"&amp;(M7+1.5*O7))</f>
        <v>6</v>
      </c>
    </row>
    <row r="8" customFormat="false" ht="15" hidden="false" customHeight="false" outlineLevel="0" collapsed="false">
      <c r="A8" s="2" t="s">
        <v>24</v>
      </c>
      <c r="B8" s="3" t="n">
        <v>5</v>
      </c>
      <c r="C8" s="3" t="n">
        <v>3</v>
      </c>
      <c r="D8" s="4" t="n">
        <f aca="false">B8/C8</f>
        <v>1.66666666666667</v>
      </c>
      <c r="E8" s="3" t="n">
        <f aca="false">B8-C8</f>
        <v>2</v>
      </c>
      <c r="F8" s="3" t="n">
        <f aca="false">COUNT('Raw (GPT-5.1)'!$D$377:$D$447)</f>
        <v>71</v>
      </c>
      <c r="G8" s="5" t="n">
        <f aca="false">AVERAGE('Raw (GPT-5.1)'!$D$377:$D$447)</f>
        <v>42.1642253521127</v>
      </c>
      <c r="H8" s="5" t="n">
        <f aca="false">STDEV('Raw (GPT-5.1)'!$D$377:$D$447)/ABS(G8)*100</f>
        <v>26.2627094350038</v>
      </c>
      <c r="I8" s="5" t="n">
        <f aca="false">AVERAGEIF('Matched (win calc)'!$A$2:$A$244,A8,'Matched (win calc)'!$F$2:$F$244)*100</f>
        <v>40.7407407407407</v>
      </c>
      <c r="J8" s="5" t="n">
        <f aca="false">MIN('Raw (GPT-5.1)'!$D$377:$D$447)</f>
        <v>24.06</v>
      </c>
      <c r="K8" s="5" t="n">
        <f aca="false">QUARTILE('Raw (GPT-5.1)'!$D$377:$D$447,1)</f>
        <v>37.41</v>
      </c>
      <c r="L8" s="5" t="n">
        <f aca="false">MEDIAN('Raw (GPT-5.1)'!$D$377:$D$447)</f>
        <v>40.67</v>
      </c>
      <c r="M8" s="5" t="n">
        <f aca="false">QUARTILE('Raw (GPT-5.1)'!$D$377:$D$447,3)</f>
        <v>44.96</v>
      </c>
      <c r="N8" s="5" t="n">
        <f aca="false">MAX('Raw (GPT-5.1)'!$D$377:$D$447)</f>
        <v>98.77</v>
      </c>
      <c r="O8" s="5" t="n">
        <f aca="false">M8-K8</f>
        <v>7.55</v>
      </c>
      <c r="P8" s="3" t="n">
        <f aca="false">COUNTIF('Raw (GPT-5.1)'!$D$377:$D$447,"&lt;"&amp;(K8-1.5*O8))+COUNTIF('Raw (GPT-5.1)'!$D$377:$D$447,"&gt;"&amp;(M8+1.5*O8))</f>
        <v>7</v>
      </c>
    </row>
    <row r="9" customFormat="false" ht="15" hidden="false" customHeight="false" outlineLevel="0" collapsed="false">
      <c r="A9" s="2" t="s">
        <v>25</v>
      </c>
      <c r="B9" s="3" t="n">
        <v>30</v>
      </c>
      <c r="C9" s="3" t="n">
        <v>10</v>
      </c>
      <c r="D9" s="4" t="n">
        <f aca="false">B9/C9</f>
        <v>3</v>
      </c>
      <c r="E9" s="3" t="n">
        <f aca="false">B9-C9</f>
        <v>20</v>
      </c>
      <c r="F9" s="3" t="n">
        <f aca="false">COUNT('Raw (GPT-5.1)'!$D$448:$D$509)</f>
        <v>62</v>
      </c>
      <c r="G9" s="5" t="n">
        <f aca="false">AVERAGE('Raw (GPT-5.1)'!$D$448:$D$509)</f>
        <v>40.1382258064516</v>
      </c>
      <c r="H9" s="5" t="n">
        <f aca="false">STDEV('Raw (GPT-5.1)'!$D$448:$D$509)/ABS(G9)*100</f>
        <v>43.2939974705139</v>
      </c>
      <c r="I9" s="5" t="n">
        <f aca="false">AVERAGEIF('Matched (win calc)'!$A$2:$A$244,A9,'Matched (win calc)'!$F$2:$F$244)*100</f>
        <v>33.3333333333333</v>
      </c>
      <c r="J9" s="5" t="n">
        <f aca="false">MIN('Raw (GPT-5.1)'!$D$448:$D$509)</f>
        <v>14.16</v>
      </c>
      <c r="K9" s="5" t="n">
        <f aca="false">QUARTILE('Raw (GPT-5.1)'!$D$448:$D$509,1)</f>
        <v>26.865</v>
      </c>
      <c r="L9" s="5" t="n">
        <f aca="false">MEDIAN('Raw (GPT-5.1)'!$D$448:$D$509)</f>
        <v>37.69</v>
      </c>
      <c r="M9" s="5" t="n">
        <f aca="false">QUARTILE('Raw (GPT-5.1)'!$D$448:$D$509,3)</f>
        <v>49.85</v>
      </c>
      <c r="N9" s="5" t="n">
        <f aca="false">MAX('Raw (GPT-5.1)'!$D$448:$D$509)</f>
        <v>113.09</v>
      </c>
      <c r="O9" s="5" t="n">
        <f aca="false">M9-K9</f>
        <v>22.985</v>
      </c>
      <c r="P9" s="3" t="n">
        <f aca="false">COUNTIF('Raw (GPT-5.1)'!$D$448:$D$509,"&lt;"&amp;(K9-1.5*O9))+COUNTIF('Raw (GPT-5.1)'!$D$448:$D$509,"&gt;"&amp;(M9+1.5*O9))</f>
        <v>2</v>
      </c>
    </row>
    <row r="10" customFormat="false" ht="15" hidden="false" customHeight="false" outlineLevel="0" collapsed="false">
      <c r="A10" s="6" t="s">
        <v>26</v>
      </c>
      <c r="B10" s="7" t="s">
        <v>21</v>
      </c>
      <c r="C10" s="7" t="s">
        <v>21</v>
      </c>
      <c r="D10" s="8" t="s">
        <v>21</v>
      </c>
      <c r="E10" s="7" t="s">
        <v>21</v>
      </c>
      <c r="F10" s="7" t="n">
        <f aca="false">COUNT('Raw (GPT-5.1)'!$D$510:$D$565)</f>
        <v>56</v>
      </c>
      <c r="G10" s="9" t="n">
        <f aca="false">AVERAGE('Raw (GPT-5.1)'!$D$510:$D$565)</f>
        <v>38.8696428571429</v>
      </c>
      <c r="H10" s="9" t="n">
        <f aca="false">STDEV('Raw (GPT-5.1)'!$D$510:$D$565)/ABS(G10)*100</f>
        <v>45.6344499360218</v>
      </c>
      <c r="I10" s="9" t="n">
        <f aca="false">AVERAGEIF('Matched (win calc)'!$A$2:$A$244,A10,'Matched (win calc)'!$F$2:$F$244)*100</f>
        <v>29.6296296296296</v>
      </c>
      <c r="J10" s="9" t="n">
        <f aca="false">MIN('Raw (GPT-5.1)'!$D$510:$D$565)</f>
        <v>13.75</v>
      </c>
      <c r="K10" s="9" t="n">
        <f aca="false">QUARTILE('Raw (GPT-5.1)'!$D$510:$D$565,1)</f>
        <v>28.1125</v>
      </c>
      <c r="L10" s="9" t="n">
        <f aca="false">MEDIAN('Raw (GPT-5.1)'!$D$510:$D$565)</f>
        <v>38.525</v>
      </c>
      <c r="M10" s="9" t="n">
        <f aca="false">QUARTILE('Raw (GPT-5.1)'!$D$510:$D$565,3)</f>
        <v>44.6</v>
      </c>
      <c r="N10" s="9" t="n">
        <f aca="false">MAX('Raw (GPT-5.1)'!$D$510:$D$565)</f>
        <v>107.34</v>
      </c>
      <c r="O10" s="9" t="n">
        <f aca="false">M10-K10</f>
        <v>16.4875</v>
      </c>
      <c r="P10" s="7" t="n">
        <f aca="false">COUNTIF('Raw (GPT-5.1)'!$D$510:$D$565,"&lt;"&amp;(K10-1.5*O10))+COUNTIF('Raw (GPT-5.1)'!$D$510:$D$565,"&gt;"&amp;(M10+1.5*O10))</f>
        <v>3</v>
      </c>
    </row>
    <row r="11" customFormat="false" ht="15" hidden="false" customHeight="false" outlineLevel="0" collapsed="false">
      <c r="A11" s="2" t="s">
        <v>27</v>
      </c>
      <c r="B11" s="3" t="n">
        <v>30</v>
      </c>
      <c r="C11" s="3" t="n">
        <v>5</v>
      </c>
      <c r="D11" s="4" t="n">
        <f aca="false">B11/C11</f>
        <v>6</v>
      </c>
      <c r="E11" s="3" t="n">
        <f aca="false">B11-C11</f>
        <v>25</v>
      </c>
      <c r="F11" s="3" t="n">
        <f aca="false">COUNT('Raw (GPT-5.1)'!$D$566:$D$627)</f>
        <v>62</v>
      </c>
      <c r="G11" s="5" t="n">
        <f aca="false">AVERAGE('Raw (GPT-5.1)'!$D$566:$D$627)</f>
        <v>32.3193548387097</v>
      </c>
      <c r="H11" s="5" t="n">
        <f aca="false">STDEV('Raw (GPT-5.1)'!$D$566:$D$627)/ABS(G11)*100</f>
        <v>43.6476799888317</v>
      </c>
      <c r="I11" s="5" t="n">
        <f aca="false">AVERAGEIF('Matched (win calc)'!$A$2:$A$244,A11,'Matched (win calc)'!$F$2:$F$244)*100</f>
        <v>18.5185185185185</v>
      </c>
      <c r="J11" s="5" t="n">
        <f aca="false">MIN('Raw (GPT-5.1)'!$D$566:$D$627)</f>
        <v>-3.54</v>
      </c>
      <c r="K11" s="5" t="n">
        <f aca="false">QUARTILE('Raw (GPT-5.1)'!$D$566:$D$627,1)</f>
        <v>24.59</v>
      </c>
      <c r="L11" s="5" t="n">
        <f aca="false">MEDIAN('Raw (GPT-5.1)'!$D$566:$D$627)</f>
        <v>31.72</v>
      </c>
      <c r="M11" s="5" t="n">
        <f aca="false">QUARTILE('Raw (GPT-5.1)'!$D$566:$D$627,3)</f>
        <v>38.225</v>
      </c>
      <c r="N11" s="5" t="n">
        <f aca="false">MAX('Raw (GPT-5.1)'!$D$566:$D$627)</f>
        <v>71.54</v>
      </c>
      <c r="O11" s="5" t="n">
        <f aca="false">M11-K11</f>
        <v>13.635</v>
      </c>
      <c r="P11" s="3" t="n">
        <f aca="false">COUNTIF('Raw (GPT-5.1)'!$D$566:$D$627,"&lt;"&amp;(K11-1.5*O11))+COUNTIF('Raw (GPT-5.1)'!$D$566:$D$627,"&gt;"&amp;(M11+1.5*O11))</f>
        <v>5</v>
      </c>
    </row>
    <row r="13" customFormat="false" ht="15" hidden="false" customHeight="false" outlineLevel="0" collapsed="false">
      <c r="A13" s="10" t="s">
        <v>28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</sheetData>
  <autoFilter ref="A1:P11"/>
  <mergeCells count="1">
    <mergeCell ref="A13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1" t="s">
        <v>29</v>
      </c>
      <c r="B1" s="11" t="s">
        <v>30</v>
      </c>
      <c r="C1" s="11" t="s">
        <v>31</v>
      </c>
      <c r="D1" s="11" t="s">
        <v>32</v>
      </c>
    </row>
    <row r="2" customFormat="false" ht="15" hidden="false" customHeight="false" outlineLevel="0" collapsed="false">
      <c r="A2" s="0" t="s">
        <v>16</v>
      </c>
      <c r="B2" s="0" t="n">
        <v>0.3</v>
      </c>
      <c r="C2" s="0" t="s">
        <v>33</v>
      </c>
      <c r="D2" s="0" t="n">
        <v>36.28</v>
      </c>
    </row>
    <row r="3" customFormat="false" ht="15" hidden="false" customHeight="false" outlineLevel="0" collapsed="false">
      <c r="A3" s="0" t="s">
        <v>16</v>
      </c>
      <c r="B3" s="0" t="n">
        <v>0.3</v>
      </c>
      <c r="C3" s="0" t="s">
        <v>33</v>
      </c>
      <c r="D3" s="0" t="n">
        <v>40.21</v>
      </c>
    </row>
    <row r="4" customFormat="false" ht="15" hidden="false" customHeight="false" outlineLevel="0" collapsed="false">
      <c r="A4" s="0" t="s">
        <v>16</v>
      </c>
      <c r="B4" s="0" t="n">
        <v>0.3</v>
      </c>
      <c r="C4" s="0" t="s">
        <v>33</v>
      </c>
      <c r="D4" s="0" t="n">
        <v>44.89</v>
      </c>
    </row>
    <row r="5" customFormat="false" ht="15" hidden="false" customHeight="false" outlineLevel="0" collapsed="false">
      <c r="A5" s="0" t="s">
        <v>16</v>
      </c>
      <c r="B5" s="0" t="n">
        <v>0.3</v>
      </c>
      <c r="C5" s="0" t="s">
        <v>34</v>
      </c>
      <c r="D5" s="0" t="n">
        <v>64.88</v>
      </c>
    </row>
    <row r="6" customFormat="false" ht="15" hidden="false" customHeight="false" outlineLevel="0" collapsed="false">
      <c r="A6" s="0" t="s">
        <v>16</v>
      </c>
      <c r="B6" s="0" t="n">
        <v>0.3</v>
      </c>
      <c r="C6" s="0" t="s">
        <v>34</v>
      </c>
      <c r="D6" s="0" t="n">
        <v>64.39</v>
      </c>
    </row>
    <row r="7" customFormat="false" ht="15" hidden="false" customHeight="false" outlineLevel="0" collapsed="false">
      <c r="A7" s="0" t="s">
        <v>16</v>
      </c>
      <c r="B7" s="0" t="n">
        <v>0.3</v>
      </c>
      <c r="C7" s="0" t="s">
        <v>34</v>
      </c>
      <c r="D7" s="0" t="n">
        <v>40.99</v>
      </c>
    </row>
    <row r="8" customFormat="false" ht="15" hidden="false" customHeight="false" outlineLevel="0" collapsed="false">
      <c r="A8" s="0" t="s">
        <v>16</v>
      </c>
      <c r="B8" s="0" t="n">
        <v>0.3</v>
      </c>
      <c r="C8" s="0" t="s">
        <v>35</v>
      </c>
      <c r="D8" s="0" t="n">
        <v>55.86</v>
      </c>
    </row>
    <row r="9" customFormat="false" ht="15" hidden="false" customHeight="false" outlineLevel="0" collapsed="false">
      <c r="A9" s="0" t="s">
        <v>16</v>
      </c>
      <c r="B9" s="0" t="n">
        <v>0.3</v>
      </c>
      <c r="C9" s="0" t="s">
        <v>35</v>
      </c>
      <c r="D9" s="0" t="n">
        <v>47.22</v>
      </c>
    </row>
    <row r="10" customFormat="false" ht="15" hidden="false" customHeight="false" outlineLevel="0" collapsed="false">
      <c r="A10" s="0" t="s">
        <v>16</v>
      </c>
      <c r="B10" s="0" t="n">
        <v>0.3</v>
      </c>
      <c r="C10" s="0" t="s">
        <v>36</v>
      </c>
      <c r="D10" s="0" t="n">
        <v>47.73</v>
      </c>
    </row>
    <row r="11" customFormat="false" ht="15" hidden="false" customHeight="false" outlineLevel="0" collapsed="false">
      <c r="A11" s="0" t="s">
        <v>16</v>
      </c>
      <c r="B11" s="0" t="n">
        <v>0.3</v>
      </c>
      <c r="C11" s="0" t="s">
        <v>36</v>
      </c>
      <c r="D11" s="0" t="n">
        <v>57.28</v>
      </c>
    </row>
    <row r="12" customFormat="false" ht="15" hidden="false" customHeight="false" outlineLevel="0" collapsed="false">
      <c r="A12" s="0" t="s">
        <v>16</v>
      </c>
      <c r="B12" s="0" t="n">
        <v>0.3</v>
      </c>
      <c r="C12" s="0" t="s">
        <v>36</v>
      </c>
      <c r="D12" s="0" t="n">
        <v>32.74</v>
      </c>
    </row>
    <row r="13" customFormat="false" ht="15" hidden="false" customHeight="false" outlineLevel="0" collapsed="false">
      <c r="A13" s="0" t="s">
        <v>16</v>
      </c>
      <c r="B13" s="0" t="n">
        <v>0.3</v>
      </c>
      <c r="C13" s="0" t="s">
        <v>37</v>
      </c>
      <c r="D13" s="0" t="n">
        <v>61.69</v>
      </c>
    </row>
    <row r="14" customFormat="false" ht="15" hidden="false" customHeight="false" outlineLevel="0" collapsed="false">
      <c r="A14" s="0" t="s">
        <v>16</v>
      </c>
      <c r="B14" s="0" t="n">
        <v>0.3</v>
      </c>
      <c r="C14" s="0" t="s">
        <v>37</v>
      </c>
      <c r="D14" s="0" t="n">
        <v>94.66</v>
      </c>
    </row>
    <row r="15" customFormat="false" ht="15" hidden="false" customHeight="false" outlineLevel="0" collapsed="false">
      <c r="A15" s="0" t="s">
        <v>16</v>
      </c>
      <c r="B15" s="0" t="n">
        <v>0.3</v>
      </c>
      <c r="C15" s="0" t="s">
        <v>37</v>
      </c>
      <c r="D15" s="0" t="n">
        <v>84</v>
      </c>
    </row>
    <row r="16" customFormat="false" ht="15" hidden="false" customHeight="false" outlineLevel="0" collapsed="false">
      <c r="A16" s="0" t="s">
        <v>16</v>
      </c>
      <c r="B16" s="0" t="n">
        <v>0.3</v>
      </c>
      <c r="C16" s="0" t="s">
        <v>38</v>
      </c>
      <c r="D16" s="0" t="n">
        <v>63.99</v>
      </c>
    </row>
    <row r="17" customFormat="false" ht="15" hidden="false" customHeight="false" outlineLevel="0" collapsed="false">
      <c r="A17" s="0" t="s">
        <v>16</v>
      </c>
      <c r="B17" s="0" t="n">
        <v>0.3</v>
      </c>
      <c r="C17" s="0" t="s">
        <v>38</v>
      </c>
      <c r="D17" s="0" t="n">
        <v>52.66</v>
      </c>
    </row>
    <row r="18" customFormat="false" ht="15" hidden="false" customHeight="false" outlineLevel="0" collapsed="false">
      <c r="A18" s="0" t="s">
        <v>16</v>
      </c>
      <c r="B18" s="0" t="n">
        <v>0.3</v>
      </c>
      <c r="C18" s="0" t="s">
        <v>38</v>
      </c>
      <c r="D18" s="0" t="n">
        <v>73.03</v>
      </c>
    </row>
    <row r="19" customFormat="false" ht="15" hidden="false" customHeight="false" outlineLevel="0" collapsed="false">
      <c r="A19" s="0" t="s">
        <v>16</v>
      </c>
      <c r="B19" s="0" t="n">
        <v>0.3</v>
      </c>
      <c r="C19" s="0" t="s">
        <v>39</v>
      </c>
      <c r="D19" s="0" t="n">
        <v>75.54</v>
      </c>
    </row>
    <row r="20" customFormat="false" ht="15" hidden="false" customHeight="false" outlineLevel="0" collapsed="false">
      <c r="A20" s="0" t="s">
        <v>16</v>
      </c>
      <c r="B20" s="0" t="n">
        <v>0.3</v>
      </c>
      <c r="C20" s="0" t="s">
        <v>39</v>
      </c>
      <c r="D20" s="0" t="n">
        <v>62.63</v>
      </c>
    </row>
    <row r="21" customFormat="false" ht="15" hidden="false" customHeight="false" outlineLevel="0" collapsed="false">
      <c r="A21" s="0" t="s">
        <v>16</v>
      </c>
      <c r="B21" s="0" t="n">
        <v>0.3</v>
      </c>
      <c r="C21" s="0" t="s">
        <v>39</v>
      </c>
      <c r="D21" s="0" t="n">
        <v>56.78</v>
      </c>
    </row>
    <row r="22" customFormat="false" ht="15" hidden="false" customHeight="false" outlineLevel="0" collapsed="false">
      <c r="A22" s="0" t="s">
        <v>16</v>
      </c>
      <c r="B22" s="0" t="n">
        <v>0.3</v>
      </c>
      <c r="C22" s="0" t="s">
        <v>40</v>
      </c>
      <c r="D22" s="0" t="n">
        <v>106.52</v>
      </c>
    </row>
    <row r="23" customFormat="false" ht="15" hidden="false" customHeight="false" outlineLevel="0" collapsed="false">
      <c r="A23" s="0" t="s">
        <v>16</v>
      </c>
      <c r="B23" s="0" t="n">
        <v>0.3</v>
      </c>
      <c r="C23" s="0" t="s">
        <v>40</v>
      </c>
      <c r="D23" s="0" t="n">
        <v>107.07</v>
      </c>
    </row>
    <row r="24" customFormat="false" ht="15" hidden="false" customHeight="false" outlineLevel="0" collapsed="false">
      <c r="A24" s="0" t="s">
        <v>16</v>
      </c>
      <c r="B24" s="0" t="n">
        <v>0.3</v>
      </c>
      <c r="C24" s="0" t="s">
        <v>41</v>
      </c>
      <c r="D24" s="0" t="n">
        <v>53.5</v>
      </c>
    </row>
    <row r="25" customFormat="false" ht="15" hidden="false" customHeight="false" outlineLevel="0" collapsed="false">
      <c r="A25" s="0" t="s">
        <v>16</v>
      </c>
      <c r="B25" s="0" t="n">
        <v>0.3</v>
      </c>
      <c r="C25" s="0" t="s">
        <v>41</v>
      </c>
      <c r="D25" s="0" t="n">
        <v>31.24</v>
      </c>
    </row>
    <row r="26" customFormat="false" ht="15" hidden="false" customHeight="false" outlineLevel="0" collapsed="false">
      <c r="A26" s="0" t="s">
        <v>16</v>
      </c>
      <c r="B26" s="0" t="n">
        <v>0.4</v>
      </c>
      <c r="C26" s="0" t="s">
        <v>33</v>
      </c>
      <c r="D26" s="0" t="n">
        <v>28.95</v>
      </c>
    </row>
    <row r="27" customFormat="false" ht="15" hidden="false" customHeight="false" outlineLevel="0" collapsed="false">
      <c r="A27" s="0" t="s">
        <v>16</v>
      </c>
      <c r="B27" s="0" t="n">
        <v>0.4</v>
      </c>
      <c r="C27" s="0" t="s">
        <v>33</v>
      </c>
      <c r="D27" s="0" t="n">
        <v>41.33</v>
      </c>
    </row>
    <row r="28" customFormat="false" ht="15" hidden="false" customHeight="false" outlineLevel="0" collapsed="false">
      <c r="A28" s="0" t="s">
        <v>16</v>
      </c>
      <c r="B28" s="0" t="n">
        <v>0.4</v>
      </c>
      <c r="C28" s="0" t="s">
        <v>34</v>
      </c>
      <c r="D28" s="0" t="n">
        <v>55.06</v>
      </c>
    </row>
    <row r="29" customFormat="false" ht="15" hidden="false" customHeight="false" outlineLevel="0" collapsed="false">
      <c r="A29" s="0" t="s">
        <v>16</v>
      </c>
      <c r="B29" s="0" t="n">
        <v>0.4</v>
      </c>
      <c r="C29" s="0" t="s">
        <v>34</v>
      </c>
      <c r="D29" s="0" t="n">
        <v>49.23</v>
      </c>
    </row>
    <row r="30" customFormat="false" ht="15" hidden="false" customHeight="false" outlineLevel="0" collapsed="false">
      <c r="A30" s="0" t="s">
        <v>16</v>
      </c>
      <c r="B30" s="0" t="n">
        <v>0.4</v>
      </c>
      <c r="C30" s="0" t="s">
        <v>35</v>
      </c>
      <c r="D30" s="0" t="n">
        <v>56.21</v>
      </c>
    </row>
    <row r="31" customFormat="false" ht="15" hidden="false" customHeight="false" outlineLevel="0" collapsed="false">
      <c r="A31" s="0" t="s">
        <v>16</v>
      </c>
      <c r="B31" s="0" t="n">
        <v>0.4</v>
      </c>
      <c r="C31" s="0" t="s">
        <v>35</v>
      </c>
      <c r="D31" s="0" t="n">
        <v>54.16</v>
      </c>
    </row>
    <row r="32" customFormat="false" ht="15" hidden="false" customHeight="false" outlineLevel="0" collapsed="false">
      <c r="A32" s="0" t="s">
        <v>16</v>
      </c>
      <c r="B32" s="0" t="n">
        <v>0.4</v>
      </c>
      <c r="C32" s="0" t="s">
        <v>35</v>
      </c>
      <c r="D32" s="0" t="n">
        <v>47.71</v>
      </c>
    </row>
    <row r="33" customFormat="false" ht="15" hidden="false" customHeight="false" outlineLevel="0" collapsed="false">
      <c r="A33" s="0" t="s">
        <v>16</v>
      </c>
      <c r="B33" s="0" t="n">
        <v>0.4</v>
      </c>
      <c r="C33" s="0" t="s">
        <v>36</v>
      </c>
      <c r="D33" s="0" t="n">
        <v>52.78</v>
      </c>
    </row>
    <row r="34" customFormat="false" ht="15" hidden="false" customHeight="false" outlineLevel="0" collapsed="false">
      <c r="A34" s="0" t="s">
        <v>16</v>
      </c>
      <c r="B34" s="0" t="n">
        <v>0.4</v>
      </c>
      <c r="C34" s="0" t="s">
        <v>36</v>
      </c>
      <c r="D34" s="0" t="n">
        <v>60.62</v>
      </c>
    </row>
    <row r="35" customFormat="false" ht="15" hidden="false" customHeight="false" outlineLevel="0" collapsed="false">
      <c r="A35" s="0" t="s">
        <v>16</v>
      </c>
      <c r="B35" s="0" t="n">
        <v>0.4</v>
      </c>
      <c r="C35" s="0" t="s">
        <v>36</v>
      </c>
      <c r="D35" s="0" t="n">
        <v>57.13</v>
      </c>
    </row>
    <row r="36" customFormat="false" ht="15" hidden="false" customHeight="false" outlineLevel="0" collapsed="false">
      <c r="A36" s="0" t="s">
        <v>16</v>
      </c>
      <c r="B36" s="0" t="n">
        <v>0.4</v>
      </c>
      <c r="C36" s="0" t="s">
        <v>37</v>
      </c>
      <c r="D36" s="0" t="n">
        <v>61.95</v>
      </c>
    </row>
    <row r="37" customFormat="false" ht="15" hidden="false" customHeight="false" outlineLevel="0" collapsed="false">
      <c r="A37" s="0" t="s">
        <v>16</v>
      </c>
      <c r="B37" s="0" t="n">
        <v>0.4</v>
      </c>
      <c r="C37" s="0" t="s">
        <v>37</v>
      </c>
      <c r="D37" s="0" t="n">
        <v>55.72</v>
      </c>
    </row>
    <row r="38" customFormat="false" ht="15" hidden="false" customHeight="false" outlineLevel="0" collapsed="false">
      <c r="A38" s="0" t="s">
        <v>16</v>
      </c>
      <c r="B38" s="0" t="n">
        <v>0.4</v>
      </c>
      <c r="C38" s="0" t="s">
        <v>38</v>
      </c>
      <c r="D38" s="0" t="n">
        <v>75.45</v>
      </c>
    </row>
    <row r="39" customFormat="false" ht="15" hidden="false" customHeight="false" outlineLevel="0" collapsed="false">
      <c r="A39" s="0" t="s">
        <v>16</v>
      </c>
      <c r="B39" s="0" t="n">
        <v>0.4</v>
      </c>
      <c r="C39" s="0" t="s">
        <v>38</v>
      </c>
      <c r="D39" s="0" t="n">
        <v>54.78</v>
      </c>
    </row>
    <row r="40" customFormat="false" ht="15" hidden="false" customHeight="false" outlineLevel="0" collapsed="false">
      <c r="A40" s="0" t="s">
        <v>16</v>
      </c>
      <c r="B40" s="0" t="n">
        <v>0.4</v>
      </c>
      <c r="C40" s="0" t="s">
        <v>38</v>
      </c>
      <c r="D40" s="0" t="n">
        <v>61.49</v>
      </c>
    </row>
    <row r="41" customFormat="false" ht="15" hidden="false" customHeight="false" outlineLevel="0" collapsed="false">
      <c r="A41" s="0" t="s">
        <v>16</v>
      </c>
      <c r="B41" s="0" t="n">
        <v>0.4</v>
      </c>
      <c r="C41" s="0" t="s">
        <v>39</v>
      </c>
      <c r="D41" s="0" t="n">
        <v>72.61</v>
      </c>
    </row>
    <row r="42" customFormat="false" ht="15" hidden="false" customHeight="false" outlineLevel="0" collapsed="false">
      <c r="A42" s="0" t="s">
        <v>16</v>
      </c>
      <c r="B42" s="0" t="n">
        <v>0.4</v>
      </c>
      <c r="C42" s="0" t="s">
        <v>39</v>
      </c>
      <c r="D42" s="0" t="n">
        <v>68.68</v>
      </c>
    </row>
    <row r="43" customFormat="false" ht="15" hidden="false" customHeight="false" outlineLevel="0" collapsed="false">
      <c r="A43" s="0" t="s">
        <v>16</v>
      </c>
      <c r="B43" s="0" t="n">
        <v>0.4</v>
      </c>
      <c r="C43" s="0" t="s">
        <v>39</v>
      </c>
      <c r="D43" s="0" t="n">
        <v>78.48</v>
      </c>
    </row>
    <row r="44" customFormat="false" ht="15" hidden="false" customHeight="false" outlineLevel="0" collapsed="false">
      <c r="A44" s="0" t="s">
        <v>16</v>
      </c>
      <c r="B44" s="0" t="n">
        <v>0.4</v>
      </c>
      <c r="C44" s="0" t="s">
        <v>40</v>
      </c>
      <c r="D44" s="0" t="n">
        <v>92.76</v>
      </c>
    </row>
    <row r="45" customFormat="false" ht="15" hidden="false" customHeight="false" outlineLevel="0" collapsed="false">
      <c r="A45" s="0" t="s">
        <v>16</v>
      </c>
      <c r="B45" s="0" t="n">
        <v>0.4</v>
      </c>
      <c r="C45" s="0" t="s">
        <v>40</v>
      </c>
      <c r="D45" s="0" t="n">
        <v>91.1</v>
      </c>
    </row>
    <row r="46" customFormat="false" ht="15" hidden="false" customHeight="false" outlineLevel="0" collapsed="false">
      <c r="A46" s="0" t="s">
        <v>16</v>
      </c>
      <c r="B46" s="0" t="n">
        <v>0.4</v>
      </c>
      <c r="C46" s="0" t="s">
        <v>41</v>
      </c>
      <c r="D46" s="0" t="n">
        <v>29.72</v>
      </c>
    </row>
    <row r="47" customFormat="false" ht="15" hidden="false" customHeight="false" outlineLevel="0" collapsed="false">
      <c r="A47" s="0" t="s">
        <v>16</v>
      </c>
      <c r="B47" s="0" t="n">
        <v>0.4</v>
      </c>
      <c r="C47" s="0" t="s">
        <v>41</v>
      </c>
      <c r="D47" s="0" t="n">
        <v>69.72</v>
      </c>
    </row>
    <row r="48" customFormat="false" ht="15" hidden="false" customHeight="false" outlineLevel="0" collapsed="false">
      <c r="A48" s="0" t="s">
        <v>16</v>
      </c>
      <c r="B48" s="0" t="n">
        <v>0.5</v>
      </c>
      <c r="C48" s="0" t="s">
        <v>33</v>
      </c>
      <c r="D48" s="0" t="n">
        <v>43.32</v>
      </c>
    </row>
    <row r="49" customFormat="false" ht="15" hidden="false" customHeight="false" outlineLevel="0" collapsed="false">
      <c r="A49" s="0" t="s">
        <v>16</v>
      </c>
      <c r="B49" s="0" t="n">
        <v>0.5</v>
      </c>
      <c r="C49" s="0" t="s">
        <v>33</v>
      </c>
      <c r="D49" s="0" t="n">
        <v>32.85</v>
      </c>
    </row>
    <row r="50" customFormat="false" ht="15" hidden="false" customHeight="false" outlineLevel="0" collapsed="false">
      <c r="A50" s="0" t="s">
        <v>16</v>
      </c>
      <c r="B50" s="0" t="n">
        <v>0.5</v>
      </c>
      <c r="C50" s="0" t="s">
        <v>33</v>
      </c>
      <c r="D50" s="0" t="n">
        <v>42.21</v>
      </c>
    </row>
    <row r="51" customFormat="false" ht="15" hidden="false" customHeight="false" outlineLevel="0" collapsed="false">
      <c r="A51" s="0" t="s">
        <v>16</v>
      </c>
      <c r="B51" s="0" t="n">
        <v>0.5</v>
      </c>
      <c r="C51" s="0" t="s">
        <v>34</v>
      </c>
      <c r="D51" s="0" t="n">
        <v>52.76</v>
      </c>
    </row>
    <row r="52" customFormat="false" ht="15" hidden="false" customHeight="false" outlineLevel="0" collapsed="false">
      <c r="A52" s="0" t="s">
        <v>16</v>
      </c>
      <c r="B52" s="0" t="n">
        <v>0.5</v>
      </c>
      <c r="C52" s="0" t="s">
        <v>34</v>
      </c>
      <c r="D52" s="0" t="n">
        <v>51.5</v>
      </c>
    </row>
    <row r="53" customFormat="false" ht="15" hidden="false" customHeight="false" outlineLevel="0" collapsed="false">
      <c r="A53" s="0" t="s">
        <v>16</v>
      </c>
      <c r="B53" s="0" t="n">
        <v>0.5</v>
      </c>
      <c r="C53" s="0" t="s">
        <v>34</v>
      </c>
      <c r="D53" s="0" t="n">
        <v>53.57</v>
      </c>
    </row>
    <row r="54" customFormat="false" ht="15" hidden="false" customHeight="false" outlineLevel="0" collapsed="false">
      <c r="A54" s="0" t="s">
        <v>16</v>
      </c>
      <c r="B54" s="0" t="n">
        <v>0.5</v>
      </c>
      <c r="C54" s="0" t="s">
        <v>35</v>
      </c>
      <c r="D54" s="0" t="n">
        <v>55.99</v>
      </c>
    </row>
    <row r="55" customFormat="false" ht="15" hidden="false" customHeight="false" outlineLevel="0" collapsed="false">
      <c r="A55" s="0" t="s">
        <v>16</v>
      </c>
      <c r="B55" s="0" t="n">
        <v>0.5</v>
      </c>
      <c r="C55" s="0" t="s">
        <v>35</v>
      </c>
      <c r="D55" s="0" t="n">
        <v>49.39</v>
      </c>
    </row>
    <row r="56" customFormat="false" ht="15" hidden="false" customHeight="false" outlineLevel="0" collapsed="false">
      <c r="A56" s="0" t="s">
        <v>16</v>
      </c>
      <c r="B56" s="0" t="n">
        <v>0.5</v>
      </c>
      <c r="C56" s="0" t="s">
        <v>35</v>
      </c>
      <c r="D56" s="0" t="n">
        <v>50.6</v>
      </c>
    </row>
    <row r="57" customFormat="false" ht="15" hidden="false" customHeight="false" outlineLevel="0" collapsed="false">
      <c r="A57" s="0" t="s">
        <v>16</v>
      </c>
      <c r="B57" s="0" t="n">
        <v>0.5</v>
      </c>
      <c r="C57" s="0" t="s">
        <v>36</v>
      </c>
      <c r="D57" s="0" t="n">
        <v>52.98</v>
      </c>
    </row>
    <row r="58" customFormat="false" ht="15" hidden="false" customHeight="false" outlineLevel="0" collapsed="false">
      <c r="A58" s="0" t="s">
        <v>16</v>
      </c>
      <c r="B58" s="0" t="n">
        <v>0.5</v>
      </c>
      <c r="C58" s="0" t="s">
        <v>36</v>
      </c>
      <c r="D58" s="0" t="n">
        <v>51.87</v>
      </c>
    </row>
    <row r="59" customFormat="false" ht="15" hidden="false" customHeight="false" outlineLevel="0" collapsed="false">
      <c r="A59" s="0" t="s">
        <v>16</v>
      </c>
      <c r="B59" s="0" t="n">
        <v>0.5</v>
      </c>
      <c r="C59" s="0" t="s">
        <v>36</v>
      </c>
      <c r="D59" s="0" t="n">
        <v>49.28</v>
      </c>
    </row>
    <row r="60" customFormat="false" ht="15" hidden="false" customHeight="false" outlineLevel="0" collapsed="false">
      <c r="A60" s="0" t="s">
        <v>16</v>
      </c>
      <c r="B60" s="0" t="n">
        <v>0.5</v>
      </c>
      <c r="C60" s="0" t="s">
        <v>37</v>
      </c>
      <c r="D60" s="0" t="n">
        <v>75.69</v>
      </c>
    </row>
    <row r="61" customFormat="false" ht="15" hidden="false" customHeight="false" outlineLevel="0" collapsed="false">
      <c r="A61" s="0" t="s">
        <v>16</v>
      </c>
      <c r="B61" s="0" t="n">
        <v>0.5</v>
      </c>
      <c r="C61" s="0" t="s">
        <v>37</v>
      </c>
      <c r="D61" s="0" t="n">
        <v>57.78</v>
      </c>
    </row>
    <row r="62" customFormat="false" ht="15" hidden="false" customHeight="false" outlineLevel="0" collapsed="false">
      <c r="A62" s="0" t="s">
        <v>16</v>
      </c>
      <c r="B62" s="0" t="n">
        <v>0.5</v>
      </c>
      <c r="C62" s="0" t="s">
        <v>37</v>
      </c>
      <c r="D62" s="0" t="n">
        <v>58.93</v>
      </c>
    </row>
    <row r="63" customFormat="false" ht="15" hidden="false" customHeight="false" outlineLevel="0" collapsed="false">
      <c r="A63" s="0" t="s">
        <v>16</v>
      </c>
      <c r="B63" s="0" t="n">
        <v>0.5</v>
      </c>
      <c r="C63" s="0" t="s">
        <v>38</v>
      </c>
      <c r="D63" s="0" t="n">
        <v>63.84</v>
      </c>
    </row>
    <row r="64" customFormat="false" ht="15" hidden="false" customHeight="false" outlineLevel="0" collapsed="false">
      <c r="A64" s="0" t="s">
        <v>16</v>
      </c>
      <c r="B64" s="0" t="n">
        <v>0.5</v>
      </c>
      <c r="C64" s="0" t="s">
        <v>38</v>
      </c>
      <c r="D64" s="0" t="n">
        <v>68.38</v>
      </c>
    </row>
    <row r="65" customFormat="false" ht="15" hidden="false" customHeight="false" outlineLevel="0" collapsed="false">
      <c r="A65" s="0" t="s">
        <v>16</v>
      </c>
      <c r="B65" s="0" t="n">
        <v>0.5</v>
      </c>
      <c r="C65" s="0" t="s">
        <v>38</v>
      </c>
      <c r="D65" s="0" t="n">
        <v>94.15</v>
      </c>
    </row>
    <row r="66" customFormat="false" ht="15" hidden="false" customHeight="false" outlineLevel="0" collapsed="false">
      <c r="A66" s="0" t="s">
        <v>16</v>
      </c>
      <c r="B66" s="0" t="n">
        <v>0.5</v>
      </c>
      <c r="C66" s="0" t="s">
        <v>39</v>
      </c>
      <c r="D66" s="0" t="n">
        <v>63.35</v>
      </c>
    </row>
    <row r="67" customFormat="false" ht="15" hidden="false" customHeight="false" outlineLevel="0" collapsed="false">
      <c r="A67" s="0" t="s">
        <v>16</v>
      </c>
      <c r="B67" s="0" t="n">
        <v>0.5</v>
      </c>
      <c r="C67" s="0" t="s">
        <v>39</v>
      </c>
      <c r="D67" s="0" t="n">
        <v>57.86</v>
      </c>
    </row>
    <row r="68" customFormat="false" ht="15" hidden="false" customHeight="false" outlineLevel="0" collapsed="false">
      <c r="A68" s="0" t="s">
        <v>16</v>
      </c>
      <c r="B68" s="0" t="n">
        <v>0.5</v>
      </c>
      <c r="C68" s="0" t="s">
        <v>39</v>
      </c>
      <c r="D68" s="0" t="n">
        <v>67.55</v>
      </c>
    </row>
    <row r="69" customFormat="false" ht="15" hidden="false" customHeight="false" outlineLevel="0" collapsed="false">
      <c r="A69" s="0" t="s">
        <v>16</v>
      </c>
      <c r="B69" s="0" t="n">
        <v>0.5</v>
      </c>
      <c r="C69" s="0" t="s">
        <v>40</v>
      </c>
      <c r="D69" s="0" t="n">
        <v>112.38</v>
      </c>
    </row>
    <row r="70" customFormat="false" ht="15" hidden="false" customHeight="false" outlineLevel="0" collapsed="false">
      <c r="A70" s="0" t="s">
        <v>16</v>
      </c>
      <c r="B70" s="0" t="n">
        <v>0.5</v>
      </c>
      <c r="C70" s="0" t="s">
        <v>40</v>
      </c>
      <c r="D70" s="0" t="n">
        <v>97.73</v>
      </c>
    </row>
    <row r="71" customFormat="false" ht="15" hidden="false" customHeight="false" outlineLevel="0" collapsed="false">
      <c r="A71" s="0" t="s">
        <v>16</v>
      </c>
      <c r="B71" s="0" t="n">
        <v>0.5</v>
      </c>
      <c r="C71" s="0" t="s">
        <v>41</v>
      </c>
      <c r="D71" s="0" t="n">
        <v>64.6</v>
      </c>
    </row>
    <row r="72" customFormat="false" ht="15" hidden="false" customHeight="false" outlineLevel="0" collapsed="false">
      <c r="A72" s="0" t="s">
        <v>17</v>
      </c>
      <c r="B72" s="0" t="n">
        <v>0.3</v>
      </c>
      <c r="C72" s="0" t="s">
        <v>33</v>
      </c>
      <c r="D72" s="0" t="n">
        <v>28.07</v>
      </c>
    </row>
    <row r="73" customFormat="false" ht="15" hidden="false" customHeight="false" outlineLevel="0" collapsed="false">
      <c r="A73" s="0" t="s">
        <v>17</v>
      </c>
      <c r="B73" s="0" t="n">
        <v>0.3</v>
      </c>
      <c r="C73" s="0" t="s">
        <v>33</v>
      </c>
      <c r="D73" s="0" t="n">
        <v>32.79</v>
      </c>
    </row>
    <row r="74" customFormat="false" ht="15" hidden="false" customHeight="false" outlineLevel="0" collapsed="false">
      <c r="A74" s="0" t="s">
        <v>17</v>
      </c>
      <c r="B74" s="0" t="n">
        <v>0.3</v>
      </c>
      <c r="C74" s="0" t="s">
        <v>33</v>
      </c>
      <c r="D74" s="0" t="n">
        <v>29.01</v>
      </c>
    </row>
    <row r="75" customFormat="false" ht="15" hidden="false" customHeight="false" outlineLevel="0" collapsed="false">
      <c r="A75" s="0" t="s">
        <v>17</v>
      </c>
      <c r="B75" s="0" t="n">
        <v>0.3</v>
      </c>
      <c r="C75" s="0" t="s">
        <v>34</v>
      </c>
      <c r="D75" s="0" t="n">
        <v>48.2</v>
      </c>
    </row>
    <row r="76" customFormat="false" ht="15" hidden="false" customHeight="false" outlineLevel="0" collapsed="false">
      <c r="A76" s="0" t="s">
        <v>17</v>
      </c>
      <c r="B76" s="0" t="n">
        <v>0.3</v>
      </c>
      <c r="C76" s="0" t="s">
        <v>34</v>
      </c>
      <c r="D76" s="0" t="n">
        <v>48.58</v>
      </c>
    </row>
    <row r="77" customFormat="false" ht="15" hidden="false" customHeight="false" outlineLevel="0" collapsed="false">
      <c r="A77" s="0" t="s">
        <v>17</v>
      </c>
      <c r="B77" s="0" t="n">
        <v>0.3</v>
      </c>
      <c r="C77" s="0" t="s">
        <v>34</v>
      </c>
      <c r="D77" s="0" t="n">
        <v>51.61</v>
      </c>
    </row>
    <row r="78" customFormat="false" ht="15" hidden="false" customHeight="false" outlineLevel="0" collapsed="false">
      <c r="A78" s="0" t="s">
        <v>17</v>
      </c>
      <c r="B78" s="0" t="n">
        <v>0.3</v>
      </c>
      <c r="C78" s="0" t="s">
        <v>35</v>
      </c>
      <c r="D78" s="0" t="n">
        <v>49.58</v>
      </c>
    </row>
    <row r="79" customFormat="false" ht="15" hidden="false" customHeight="false" outlineLevel="0" collapsed="false">
      <c r="A79" s="0" t="s">
        <v>17</v>
      </c>
      <c r="B79" s="0" t="n">
        <v>0.3</v>
      </c>
      <c r="C79" s="0" t="s">
        <v>35</v>
      </c>
      <c r="D79" s="0" t="n">
        <v>49.16</v>
      </c>
    </row>
    <row r="80" customFormat="false" ht="15" hidden="false" customHeight="false" outlineLevel="0" collapsed="false">
      <c r="A80" s="0" t="s">
        <v>17</v>
      </c>
      <c r="B80" s="0" t="n">
        <v>0.3</v>
      </c>
      <c r="C80" s="0" t="s">
        <v>35</v>
      </c>
      <c r="D80" s="0" t="n">
        <v>46.56</v>
      </c>
    </row>
    <row r="81" customFormat="false" ht="15" hidden="false" customHeight="false" outlineLevel="0" collapsed="false">
      <c r="A81" s="0" t="s">
        <v>17</v>
      </c>
      <c r="B81" s="0" t="n">
        <v>0.3</v>
      </c>
      <c r="C81" s="0" t="s">
        <v>36</v>
      </c>
      <c r="D81" s="0" t="n">
        <v>31.48</v>
      </c>
    </row>
    <row r="82" customFormat="false" ht="15" hidden="false" customHeight="false" outlineLevel="0" collapsed="false">
      <c r="A82" s="0" t="s">
        <v>17</v>
      </c>
      <c r="B82" s="0" t="n">
        <v>0.3</v>
      </c>
      <c r="C82" s="0" t="s">
        <v>36</v>
      </c>
      <c r="D82" s="0" t="n">
        <v>32.33</v>
      </c>
    </row>
    <row r="83" customFormat="false" ht="15" hidden="false" customHeight="false" outlineLevel="0" collapsed="false">
      <c r="A83" s="0" t="s">
        <v>17</v>
      </c>
      <c r="B83" s="0" t="n">
        <v>0.3</v>
      </c>
      <c r="C83" s="0" t="s">
        <v>36</v>
      </c>
      <c r="D83" s="0" t="n">
        <v>50.37</v>
      </c>
    </row>
    <row r="84" customFormat="false" ht="15" hidden="false" customHeight="false" outlineLevel="0" collapsed="false">
      <c r="A84" s="0" t="s">
        <v>17</v>
      </c>
      <c r="B84" s="0" t="n">
        <v>0.3</v>
      </c>
      <c r="C84" s="0" t="s">
        <v>37</v>
      </c>
      <c r="D84" s="0" t="n">
        <v>68.86</v>
      </c>
    </row>
    <row r="85" customFormat="false" ht="15" hidden="false" customHeight="false" outlineLevel="0" collapsed="false">
      <c r="A85" s="0" t="s">
        <v>17</v>
      </c>
      <c r="B85" s="0" t="n">
        <v>0.3</v>
      </c>
      <c r="C85" s="0" t="s">
        <v>37</v>
      </c>
      <c r="D85" s="0" t="n">
        <v>84.82</v>
      </c>
    </row>
    <row r="86" customFormat="false" ht="15" hidden="false" customHeight="false" outlineLevel="0" collapsed="false">
      <c r="A86" s="0" t="s">
        <v>17</v>
      </c>
      <c r="B86" s="0" t="n">
        <v>0.3</v>
      </c>
      <c r="C86" s="0" t="s">
        <v>37</v>
      </c>
      <c r="D86" s="0" t="n">
        <v>85.67</v>
      </c>
    </row>
    <row r="87" customFormat="false" ht="15" hidden="false" customHeight="false" outlineLevel="0" collapsed="false">
      <c r="A87" s="0" t="s">
        <v>17</v>
      </c>
      <c r="B87" s="0" t="n">
        <v>0.3</v>
      </c>
      <c r="C87" s="0" t="s">
        <v>38</v>
      </c>
      <c r="D87" s="0" t="n">
        <v>36.38</v>
      </c>
    </row>
    <row r="88" customFormat="false" ht="15" hidden="false" customHeight="false" outlineLevel="0" collapsed="false">
      <c r="A88" s="0" t="s">
        <v>17</v>
      </c>
      <c r="B88" s="0" t="n">
        <v>0.3</v>
      </c>
      <c r="C88" s="0" t="s">
        <v>38</v>
      </c>
      <c r="D88" s="0" t="n">
        <v>70.34</v>
      </c>
    </row>
    <row r="89" customFormat="false" ht="15" hidden="false" customHeight="false" outlineLevel="0" collapsed="false">
      <c r="A89" s="0" t="s">
        <v>17</v>
      </c>
      <c r="B89" s="0" t="n">
        <v>0.3</v>
      </c>
      <c r="C89" s="0" t="s">
        <v>38</v>
      </c>
      <c r="D89" s="0" t="n">
        <v>76.37</v>
      </c>
    </row>
    <row r="90" customFormat="false" ht="15" hidden="false" customHeight="false" outlineLevel="0" collapsed="false">
      <c r="A90" s="0" t="s">
        <v>17</v>
      </c>
      <c r="B90" s="0" t="n">
        <v>0.3</v>
      </c>
      <c r="C90" s="0" t="s">
        <v>39</v>
      </c>
      <c r="D90" s="0" t="n">
        <v>77.3</v>
      </c>
    </row>
    <row r="91" customFormat="false" ht="15" hidden="false" customHeight="false" outlineLevel="0" collapsed="false">
      <c r="A91" s="0" t="s">
        <v>17</v>
      </c>
      <c r="B91" s="0" t="n">
        <v>0.3</v>
      </c>
      <c r="C91" s="0" t="s">
        <v>39</v>
      </c>
      <c r="D91" s="0" t="n">
        <v>66.29</v>
      </c>
    </row>
    <row r="92" customFormat="false" ht="15" hidden="false" customHeight="false" outlineLevel="0" collapsed="false">
      <c r="A92" s="0" t="s">
        <v>17</v>
      </c>
      <c r="B92" s="0" t="n">
        <v>0.3</v>
      </c>
      <c r="C92" s="0" t="s">
        <v>39</v>
      </c>
      <c r="D92" s="0" t="n">
        <v>70.76</v>
      </c>
    </row>
    <row r="93" customFormat="false" ht="15" hidden="false" customHeight="false" outlineLevel="0" collapsed="false">
      <c r="A93" s="0" t="s">
        <v>17</v>
      </c>
      <c r="B93" s="0" t="n">
        <v>0.3</v>
      </c>
      <c r="C93" s="0" t="s">
        <v>40</v>
      </c>
      <c r="D93" s="0" t="n">
        <v>54.25</v>
      </c>
    </row>
    <row r="94" customFormat="false" ht="15" hidden="false" customHeight="false" outlineLevel="0" collapsed="false">
      <c r="A94" s="0" t="s">
        <v>17</v>
      </c>
      <c r="B94" s="0" t="n">
        <v>0.3</v>
      </c>
      <c r="C94" s="0" t="s">
        <v>40</v>
      </c>
      <c r="D94" s="0" t="n">
        <v>45.28</v>
      </c>
    </row>
    <row r="95" customFormat="false" ht="15" hidden="false" customHeight="false" outlineLevel="0" collapsed="false">
      <c r="A95" s="0" t="s">
        <v>17</v>
      </c>
      <c r="B95" s="0" t="n">
        <v>0.3</v>
      </c>
      <c r="C95" s="0" t="s">
        <v>41</v>
      </c>
      <c r="D95" s="0" t="n">
        <v>34.63</v>
      </c>
    </row>
    <row r="96" customFormat="false" ht="15" hidden="false" customHeight="false" outlineLevel="0" collapsed="false">
      <c r="A96" s="0" t="s">
        <v>17</v>
      </c>
      <c r="B96" s="0" t="n">
        <v>0.3</v>
      </c>
      <c r="C96" s="0" t="s">
        <v>41</v>
      </c>
      <c r="D96" s="0" t="n">
        <v>44.69</v>
      </c>
    </row>
    <row r="97" customFormat="false" ht="15" hidden="false" customHeight="false" outlineLevel="0" collapsed="false">
      <c r="A97" s="0" t="s">
        <v>17</v>
      </c>
      <c r="B97" s="0" t="n">
        <v>0.4</v>
      </c>
      <c r="C97" s="0" t="s">
        <v>33</v>
      </c>
      <c r="D97" s="0" t="n">
        <v>33.77</v>
      </c>
    </row>
    <row r="98" customFormat="false" ht="15" hidden="false" customHeight="false" outlineLevel="0" collapsed="false">
      <c r="A98" s="0" t="s">
        <v>17</v>
      </c>
      <c r="B98" s="0" t="n">
        <v>0.4</v>
      </c>
      <c r="C98" s="0" t="s">
        <v>33</v>
      </c>
      <c r="D98" s="0" t="n">
        <v>34.34</v>
      </c>
    </row>
    <row r="99" customFormat="false" ht="15" hidden="false" customHeight="false" outlineLevel="0" collapsed="false">
      <c r="A99" s="0" t="s">
        <v>17</v>
      </c>
      <c r="B99" s="0" t="n">
        <v>0.4</v>
      </c>
      <c r="C99" s="0" t="s">
        <v>33</v>
      </c>
      <c r="D99" s="0" t="n">
        <v>42.58</v>
      </c>
    </row>
    <row r="100" customFormat="false" ht="15" hidden="false" customHeight="false" outlineLevel="0" collapsed="false">
      <c r="A100" s="0" t="s">
        <v>17</v>
      </c>
      <c r="B100" s="0" t="n">
        <v>0.4</v>
      </c>
      <c r="C100" s="0" t="s">
        <v>34</v>
      </c>
      <c r="D100" s="0" t="n">
        <v>30.44</v>
      </c>
    </row>
    <row r="101" customFormat="false" ht="15" hidden="false" customHeight="false" outlineLevel="0" collapsed="false">
      <c r="A101" s="0" t="s">
        <v>17</v>
      </c>
      <c r="B101" s="0" t="n">
        <v>0.4</v>
      </c>
      <c r="C101" s="0" t="s">
        <v>34</v>
      </c>
      <c r="D101" s="0" t="n">
        <v>48.65</v>
      </c>
    </row>
    <row r="102" customFormat="false" ht="15" hidden="false" customHeight="false" outlineLevel="0" collapsed="false">
      <c r="A102" s="0" t="s">
        <v>17</v>
      </c>
      <c r="B102" s="0" t="n">
        <v>0.4</v>
      </c>
      <c r="C102" s="0" t="s">
        <v>34</v>
      </c>
      <c r="D102" s="0" t="n">
        <v>53.64</v>
      </c>
    </row>
    <row r="103" customFormat="false" ht="15" hidden="false" customHeight="false" outlineLevel="0" collapsed="false">
      <c r="A103" s="0" t="s">
        <v>17</v>
      </c>
      <c r="B103" s="0" t="n">
        <v>0.4</v>
      </c>
      <c r="C103" s="0" t="s">
        <v>35</v>
      </c>
      <c r="D103" s="0" t="n">
        <v>32</v>
      </c>
    </row>
    <row r="104" customFormat="false" ht="15" hidden="false" customHeight="false" outlineLevel="0" collapsed="false">
      <c r="A104" s="0" t="s">
        <v>17</v>
      </c>
      <c r="B104" s="0" t="n">
        <v>0.4</v>
      </c>
      <c r="C104" s="0" t="s">
        <v>35</v>
      </c>
      <c r="D104" s="0" t="n">
        <v>52.94</v>
      </c>
    </row>
    <row r="105" customFormat="false" ht="15" hidden="false" customHeight="false" outlineLevel="0" collapsed="false">
      <c r="A105" s="0" t="s">
        <v>17</v>
      </c>
      <c r="B105" s="0" t="n">
        <v>0.4</v>
      </c>
      <c r="C105" s="0" t="s">
        <v>35</v>
      </c>
      <c r="D105" s="0" t="n">
        <v>52.43</v>
      </c>
    </row>
    <row r="106" customFormat="false" ht="15" hidden="false" customHeight="false" outlineLevel="0" collapsed="false">
      <c r="A106" s="0" t="s">
        <v>17</v>
      </c>
      <c r="B106" s="0" t="n">
        <v>0.4</v>
      </c>
      <c r="C106" s="0" t="s">
        <v>36</v>
      </c>
      <c r="D106" s="0" t="n">
        <v>60.29</v>
      </c>
    </row>
    <row r="107" customFormat="false" ht="15" hidden="false" customHeight="false" outlineLevel="0" collapsed="false">
      <c r="A107" s="0" t="s">
        <v>17</v>
      </c>
      <c r="B107" s="0" t="n">
        <v>0.4</v>
      </c>
      <c r="C107" s="0" t="s">
        <v>36</v>
      </c>
      <c r="D107" s="0" t="n">
        <v>56.18</v>
      </c>
    </row>
    <row r="108" customFormat="false" ht="15" hidden="false" customHeight="false" outlineLevel="0" collapsed="false">
      <c r="A108" s="0" t="s">
        <v>17</v>
      </c>
      <c r="B108" s="0" t="n">
        <v>0.4</v>
      </c>
      <c r="C108" s="0" t="s">
        <v>36</v>
      </c>
      <c r="D108" s="0" t="n">
        <v>61.46</v>
      </c>
    </row>
    <row r="109" customFormat="false" ht="15" hidden="false" customHeight="false" outlineLevel="0" collapsed="false">
      <c r="A109" s="0" t="s">
        <v>17</v>
      </c>
      <c r="B109" s="0" t="n">
        <v>0.4</v>
      </c>
      <c r="C109" s="0" t="s">
        <v>37</v>
      </c>
      <c r="D109" s="0" t="n">
        <v>28.39</v>
      </c>
    </row>
    <row r="110" customFormat="false" ht="15" hidden="false" customHeight="false" outlineLevel="0" collapsed="false">
      <c r="A110" s="0" t="s">
        <v>17</v>
      </c>
      <c r="B110" s="0" t="n">
        <v>0.4</v>
      </c>
      <c r="C110" s="0" t="s">
        <v>37</v>
      </c>
      <c r="D110" s="0" t="n">
        <v>67.54</v>
      </c>
    </row>
    <row r="111" customFormat="false" ht="15" hidden="false" customHeight="false" outlineLevel="0" collapsed="false">
      <c r="A111" s="0" t="s">
        <v>17</v>
      </c>
      <c r="B111" s="0" t="n">
        <v>0.4</v>
      </c>
      <c r="C111" s="0" t="s">
        <v>37</v>
      </c>
      <c r="D111" s="0" t="n">
        <v>81.7</v>
      </c>
    </row>
    <row r="112" customFormat="false" ht="15" hidden="false" customHeight="false" outlineLevel="0" collapsed="false">
      <c r="A112" s="0" t="s">
        <v>17</v>
      </c>
      <c r="B112" s="0" t="n">
        <v>0.4</v>
      </c>
      <c r="C112" s="0" t="s">
        <v>38</v>
      </c>
      <c r="D112" s="0" t="n">
        <v>50.54</v>
      </c>
    </row>
    <row r="113" customFormat="false" ht="15" hidden="false" customHeight="false" outlineLevel="0" collapsed="false">
      <c r="A113" s="0" t="s">
        <v>17</v>
      </c>
      <c r="B113" s="0" t="n">
        <v>0.4</v>
      </c>
      <c r="C113" s="0" t="s">
        <v>38</v>
      </c>
      <c r="D113" s="0" t="n">
        <v>88.67</v>
      </c>
    </row>
    <row r="114" customFormat="false" ht="15" hidden="false" customHeight="false" outlineLevel="0" collapsed="false">
      <c r="A114" s="0" t="s">
        <v>17</v>
      </c>
      <c r="B114" s="0" t="n">
        <v>0.4</v>
      </c>
      <c r="C114" s="0" t="s">
        <v>38</v>
      </c>
      <c r="D114" s="0" t="n">
        <v>82.4</v>
      </c>
    </row>
    <row r="115" customFormat="false" ht="15" hidden="false" customHeight="false" outlineLevel="0" collapsed="false">
      <c r="A115" s="0" t="s">
        <v>17</v>
      </c>
      <c r="B115" s="0" t="n">
        <v>0.4</v>
      </c>
      <c r="C115" s="0" t="s">
        <v>39</v>
      </c>
      <c r="D115" s="0" t="n">
        <v>73.44</v>
      </c>
    </row>
    <row r="116" customFormat="false" ht="15" hidden="false" customHeight="false" outlineLevel="0" collapsed="false">
      <c r="A116" s="0" t="s">
        <v>17</v>
      </c>
      <c r="B116" s="0" t="n">
        <v>0.4</v>
      </c>
      <c r="C116" s="0" t="s">
        <v>39</v>
      </c>
      <c r="D116" s="0" t="n">
        <v>43.23</v>
      </c>
    </row>
    <row r="117" customFormat="false" ht="15" hidden="false" customHeight="false" outlineLevel="0" collapsed="false">
      <c r="A117" s="0" t="s">
        <v>17</v>
      </c>
      <c r="B117" s="0" t="n">
        <v>0.4</v>
      </c>
      <c r="C117" s="0" t="s">
        <v>40</v>
      </c>
      <c r="D117" s="0" t="n">
        <v>126.47</v>
      </c>
    </row>
    <row r="118" customFormat="false" ht="15" hidden="false" customHeight="false" outlineLevel="0" collapsed="false">
      <c r="A118" s="0" t="s">
        <v>17</v>
      </c>
      <c r="B118" s="0" t="n">
        <v>0.4</v>
      </c>
      <c r="C118" s="0" t="s">
        <v>40</v>
      </c>
      <c r="D118" s="0" t="n">
        <v>129.21</v>
      </c>
    </row>
    <row r="119" customFormat="false" ht="15" hidden="false" customHeight="false" outlineLevel="0" collapsed="false">
      <c r="A119" s="0" t="s">
        <v>17</v>
      </c>
      <c r="B119" s="0" t="n">
        <v>0.4</v>
      </c>
      <c r="C119" s="0" t="s">
        <v>41</v>
      </c>
      <c r="D119" s="0" t="n">
        <v>37.05</v>
      </c>
    </row>
    <row r="120" customFormat="false" ht="15" hidden="false" customHeight="false" outlineLevel="0" collapsed="false">
      <c r="A120" s="0" t="s">
        <v>17</v>
      </c>
      <c r="B120" s="0" t="n">
        <v>0.4</v>
      </c>
      <c r="C120" s="0" t="s">
        <v>41</v>
      </c>
      <c r="D120" s="0" t="n">
        <v>31.37</v>
      </c>
    </row>
    <row r="121" customFormat="false" ht="15" hidden="false" customHeight="false" outlineLevel="0" collapsed="false">
      <c r="A121" s="0" t="s">
        <v>17</v>
      </c>
      <c r="B121" s="0" t="n">
        <v>0.5</v>
      </c>
      <c r="C121" s="0" t="s">
        <v>33</v>
      </c>
      <c r="D121" s="0" t="n">
        <v>34.32</v>
      </c>
    </row>
    <row r="122" customFormat="false" ht="15" hidden="false" customHeight="false" outlineLevel="0" collapsed="false">
      <c r="A122" s="0" t="s">
        <v>17</v>
      </c>
      <c r="B122" s="0" t="n">
        <v>0.5</v>
      </c>
      <c r="C122" s="0" t="s">
        <v>33</v>
      </c>
      <c r="D122" s="0" t="n">
        <v>31.52</v>
      </c>
    </row>
    <row r="123" customFormat="false" ht="15" hidden="false" customHeight="false" outlineLevel="0" collapsed="false">
      <c r="A123" s="0" t="s">
        <v>17</v>
      </c>
      <c r="B123" s="0" t="n">
        <v>0.5</v>
      </c>
      <c r="C123" s="0" t="s">
        <v>33</v>
      </c>
      <c r="D123" s="0" t="n">
        <v>34.55</v>
      </c>
    </row>
    <row r="124" customFormat="false" ht="15" hidden="false" customHeight="false" outlineLevel="0" collapsed="false">
      <c r="A124" s="0" t="s">
        <v>17</v>
      </c>
      <c r="B124" s="0" t="n">
        <v>0.5</v>
      </c>
      <c r="C124" s="0" t="s">
        <v>34</v>
      </c>
      <c r="D124" s="0" t="n">
        <v>46</v>
      </c>
    </row>
    <row r="125" customFormat="false" ht="15" hidden="false" customHeight="false" outlineLevel="0" collapsed="false">
      <c r="A125" s="0" t="s">
        <v>17</v>
      </c>
      <c r="B125" s="0" t="n">
        <v>0.5</v>
      </c>
      <c r="C125" s="0" t="s">
        <v>34</v>
      </c>
      <c r="D125" s="0" t="n">
        <v>58.25</v>
      </c>
    </row>
    <row r="126" customFormat="false" ht="15" hidden="false" customHeight="false" outlineLevel="0" collapsed="false">
      <c r="A126" s="0" t="s">
        <v>17</v>
      </c>
      <c r="B126" s="0" t="n">
        <v>0.5</v>
      </c>
      <c r="C126" s="0" t="s">
        <v>34</v>
      </c>
      <c r="D126" s="0" t="n">
        <v>55.73</v>
      </c>
    </row>
    <row r="127" customFormat="false" ht="15" hidden="false" customHeight="false" outlineLevel="0" collapsed="false">
      <c r="A127" s="0" t="s">
        <v>17</v>
      </c>
      <c r="B127" s="0" t="n">
        <v>0.5</v>
      </c>
      <c r="C127" s="0" t="s">
        <v>35</v>
      </c>
      <c r="D127" s="0" t="n">
        <v>34.55</v>
      </c>
    </row>
    <row r="128" customFormat="false" ht="15" hidden="false" customHeight="false" outlineLevel="0" collapsed="false">
      <c r="A128" s="0" t="s">
        <v>17</v>
      </c>
      <c r="B128" s="0" t="n">
        <v>0.5</v>
      </c>
      <c r="C128" s="0" t="s">
        <v>35</v>
      </c>
      <c r="D128" s="0" t="n">
        <v>52.48</v>
      </c>
    </row>
    <row r="129" customFormat="false" ht="15" hidden="false" customHeight="false" outlineLevel="0" collapsed="false">
      <c r="A129" s="0" t="s">
        <v>17</v>
      </c>
      <c r="B129" s="0" t="n">
        <v>0.5</v>
      </c>
      <c r="C129" s="0" t="s">
        <v>35</v>
      </c>
      <c r="D129" s="0" t="n">
        <v>56.35</v>
      </c>
    </row>
    <row r="130" customFormat="false" ht="15" hidden="false" customHeight="false" outlineLevel="0" collapsed="false">
      <c r="A130" s="0" t="s">
        <v>17</v>
      </c>
      <c r="B130" s="0" t="n">
        <v>0.5</v>
      </c>
      <c r="C130" s="0" t="s">
        <v>36</v>
      </c>
      <c r="D130" s="0" t="n">
        <v>65.83</v>
      </c>
    </row>
    <row r="131" customFormat="false" ht="15" hidden="false" customHeight="false" outlineLevel="0" collapsed="false">
      <c r="A131" s="0" t="s">
        <v>17</v>
      </c>
      <c r="B131" s="0" t="n">
        <v>0.5</v>
      </c>
      <c r="C131" s="0" t="s">
        <v>36</v>
      </c>
      <c r="D131" s="0" t="n">
        <v>27.91</v>
      </c>
    </row>
    <row r="132" customFormat="false" ht="15" hidden="false" customHeight="false" outlineLevel="0" collapsed="false">
      <c r="A132" s="0" t="s">
        <v>17</v>
      </c>
      <c r="B132" s="0" t="n">
        <v>0.5</v>
      </c>
      <c r="C132" s="0" t="s">
        <v>36</v>
      </c>
      <c r="D132" s="0" t="n">
        <v>66.22</v>
      </c>
    </row>
    <row r="133" customFormat="false" ht="15" hidden="false" customHeight="false" outlineLevel="0" collapsed="false">
      <c r="A133" s="0" t="s">
        <v>17</v>
      </c>
      <c r="B133" s="0" t="n">
        <v>0.5</v>
      </c>
      <c r="C133" s="0" t="s">
        <v>37</v>
      </c>
      <c r="D133" s="0" t="n">
        <v>84.88</v>
      </c>
    </row>
    <row r="134" customFormat="false" ht="15" hidden="false" customHeight="false" outlineLevel="0" collapsed="false">
      <c r="A134" s="0" t="s">
        <v>17</v>
      </c>
      <c r="B134" s="0" t="n">
        <v>0.5</v>
      </c>
      <c r="C134" s="0" t="s">
        <v>37</v>
      </c>
      <c r="D134" s="0" t="n">
        <v>78.62</v>
      </c>
    </row>
    <row r="135" customFormat="false" ht="15" hidden="false" customHeight="false" outlineLevel="0" collapsed="false">
      <c r="A135" s="0" t="s">
        <v>17</v>
      </c>
      <c r="B135" s="0" t="n">
        <v>0.5</v>
      </c>
      <c r="C135" s="0" t="s">
        <v>37</v>
      </c>
      <c r="D135" s="0" t="n">
        <v>84.4</v>
      </c>
    </row>
    <row r="136" customFormat="false" ht="15" hidden="false" customHeight="false" outlineLevel="0" collapsed="false">
      <c r="A136" s="0" t="s">
        <v>17</v>
      </c>
      <c r="B136" s="0" t="n">
        <v>0.5</v>
      </c>
      <c r="C136" s="0" t="s">
        <v>38</v>
      </c>
      <c r="D136" s="0" t="n">
        <v>68.71</v>
      </c>
    </row>
    <row r="137" customFormat="false" ht="15" hidden="false" customHeight="false" outlineLevel="0" collapsed="false">
      <c r="A137" s="0" t="s">
        <v>17</v>
      </c>
      <c r="B137" s="0" t="n">
        <v>0.5</v>
      </c>
      <c r="C137" s="0" t="s">
        <v>38</v>
      </c>
      <c r="D137" s="0" t="n">
        <v>35.81</v>
      </c>
    </row>
    <row r="138" customFormat="false" ht="15" hidden="false" customHeight="false" outlineLevel="0" collapsed="false">
      <c r="A138" s="0" t="s">
        <v>17</v>
      </c>
      <c r="B138" s="0" t="n">
        <v>0.5</v>
      </c>
      <c r="C138" s="0" t="s">
        <v>38</v>
      </c>
      <c r="D138" s="0" t="n">
        <v>84.77</v>
      </c>
    </row>
    <row r="139" customFormat="false" ht="15" hidden="false" customHeight="false" outlineLevel="0" collapsed="false">
      <c r="A139" s="0" t="s">
        <v>17</v>
      </c>
      <c r="B139" s="0" t="n">
        <v>0.5</v>
      </c>
      <c r="C139" s="0" t="s">
        <v>39</v>
      </c>
      <c r="D139" s="0" t="n">
        <v>72.88</v>
      </c>
    </row>
    <row r="140" customFormat="false" ht="15" hidden="false" customHeight="false" outlineLevel="0" collapsed="false">
      <c r="A140" s="0" t="s">
        <v>17</v>
      </c>
      <c r="B140" s="0" t="n">
        <v>0.5</v>
      </c>
      <c r="C140" s="0" t="s">
        <v>39</v>
      </c>
      <c r="D140" s="0" t="n">
        <v>72.49</v>
      </c>
    </row>
    <row r="141" customFormat="false" ht="15" hidden="false" customHeight="false" outlineLevel="0" collapsed="false">
      <c r="A141" s="0" t="s">
        <v>17</v>
      </c>
      <c r="B141" s="0" t="n">
        <v>0.5</v>
      </c>
      <c r="C141" s="0" t="s">
        <v>40</v>
      </c>
      <c r="D141" s="0" t="n">
        <v>124.69</v>
      </c>
    </row>
    <row r="142" customFormat="false" ht="15" hidden="false" customHeight="false" outlineLevel="0" collapsed="false">
      <c r="A142" s="0" t="s">
        <v>17</v>
      </c>
      <c r="B142" s="0" t="n">
        <v>0.5</v>
      </c>
      <c r="C142" s="0" t="s">
        <v>41</v>
      </c>
      <c r="D142" s="0" t="n">
        <v>8.39</v>
      </c>
    </row>
    <row r="143" customFormat="false" ht="15" hidden="false" customHeight="false" outlineLevel="0" collapsed="false">
      <c r="A143" s="0" t="s">
        <v>18</v>
      </c>
      <c r="B143" s="0" t="n">
        <v>0.3</v>
      </c>
      <c r="C143" s="0" t="s">
        <v>33</v>
      </c>
      <c r="D143" s="0" t="n">
        <v>42.25</v>
      </c>
    </row>
    <row r="144" customFormat="false" ht="15" hidden="false" customHeight="false" outlineLevel="0" collapsed="false">
      <c r="A144" s="0" t="s">
        <v>18</v>
      </c>
      <c r="B144" s="0" t="n">
        <v>0.3</v>
      </c>
      <c r="C144" s="0" t="s">
        <v>33</v>
      </c>
      <c r="D144" s="0" t="n">
        <v>40.51</v>
      </c>
    </row>
    <row r="145" customFormat="false" ht="15" hidden="false" customHeight="false" outlineLevel="0" collapsed="false">
      <c r="A145" s="0" t="s">
        <v>18</v>
      </c>
      <c r="B145" s="0" t="n">
        <v>0.3</v>
      </c>
      <c r="C145" s="0" t="s">
        <v>33</v>
      </c>
      <c r="D145" s="0" t="n">
        <v>40.51</v>
      </c>
    </row>
    <row r="146" customFormat="false" ht="15" hidden="false" customHeight="false" outlineLevel="0" collapsed="false">
      <c r="A146" s="0" t="s">
        <v>18</v>
      </c>
      <c r="B146" s="0" t="n">
        <v>0.3</v>
      </c>
      <c r="C146" s="0" t="s">
        <v>34</v>
      </c>
      <c r="D146" s="0" t="n">
        <v>45.21</v>
      </c>
    </row>
    <row r="147" customFormat="false" ht="15" hidden="false" customHeight="false" outlineLevel="0" collapsed="false">
      <c r="A147" s="0" t="s">
        <v>18</v>
      </c>
      <c r="B147" s="0" t="n">
        <v>0.3</v>
      </c>
      <c r="C147" s="0" t="s">
        <v>34</v>
      </c>
      <c r="D147" s="0" t="n">
        <v>44.84</v>
      </c>
    </row>
    <row r="148" customFormat="false" ht="15" hidden="false" customHeight="false" outlineLevel="0" collapsed="false">
      <c r="A148" s="0" t="s">
        <v>18</v>
      </c>
      <c r="B148" s="0" t="n">
        <v>0.3</v>
      </c>
      <c r="C148" s="0" t="s">
        <v>34</v>
      </c>
      <c r="D148" s="0" t="n">
        <v>39.02</v>
      </c>
    </row>
    <row r="149" customFormat="false" ht="15" hidden="false" customHeight="false" outlineLevel="0" collapsed="false">
      <c r="A149" s="0" t="s">
        <v>18</v>
      </c>
      <c r="B149" s="0" t="n">
        <v>0.3</v>
      </c>
      <c r="C149" s="0" t="s">
        <v>35</v>
      </c>
      <c r="D149" s="0" t="n">
        <v>42.93</v>
      </c>
    </row>
    <row r="150" customFormat="false" ht="15" hidden="false" customHeight="false" outlineLevel="0" collapsed="false">
      <c r="A150" s="0" t="s">
        <v>18</v>
      </c>
      <c r="B150" s="0" t="n">
        <v>0.3</v>
      </c>
      <c r="C150" s="0" t="s">
        <v>35</v>
      </c>
      <c r="D150" s="0" t="n">
        <v>42.93</v>
      </c>
    </row>
    <row r="151" customFormat="false" ht="15" hidden="false" customHeight="false" outlineLevel="0" collapsed="false">
      <c r="A151" s="0" t="s">
        <v>18</v>
      </c>
      <c r="B151" s="0" t="n">
        <v>0.3</v>
      </c>
      <c r="C151" s="0" t="s">
        <v>35</v>
      </c>
      <c r="D151" s="0" t="n">
        <v>42.11</v>
      </c>
    </row>
    <row r="152" customFormat="false" ht="15" hidden="false" customHeight="false" outlineLevel="0" collapsed="false">
      <c r="A152" s="0" t="s">
        <v>18</v>
      </c>
      <c r="B152" s="0" t="n">
        <v>0.3</v>
      </c>
      <c r="C152" s="0" t="s">
        <v>36</v>
      </c>
      <c r="D152" s="0" t="n">
        <v>38.33</v>
      </c>
    </row>
    <row r="153" customFormat="false" ht="15" hidden="false" customHeight="false" outlineLevel="0" collapsed="false">
      <c r="A153" s="0" t="s">
        <v>18</v>
      </c>
      <c r="B153" s="0" t="n">
        <v>0.3</v>
      </c>
      <c r="C153" s="0" t="s">
        <v>36</v>
      </c>
      <c r="D153" s="0" t="n">
        <v>32.61</v>
      </c>
    </row>
    <row r="154" customFormat="false" ht="15" hidden="false" customHeight="false" outlineLevel="0" collapsed="false">
      <c r="A154" s="0" t="s">
        <v>18</v>
      </c>
      <c r="B154" s="0" t="n">
        <v>0.3</v>
      </c>
      <c r="C154" s="0" t="s">
        <v>36</v>
      </c>
      <c r="D154" s="0" t="n">
        <v>38.33</v>
      </c>
    </row>
    <row r="155" customFormat="false" ht="15" hidden="false" customHeight="false" outlineLevel="0" collapsed="false">
      <c r="A155" s="0" t="s">
        <v>18</v>
      </c>
      <c r="B155" s="0" t="n">
        <v>0.3</v>
      </c>
      <c r="C155" s="0" t="s">
        <v>37</v>
      </c>
      <c r="D155" s="0" t="n">
        <v>99.07</v>
      </c>
    </row>
    <row r="156" customFormat="false" ht="15" hidden="false" customHeight="false" outlineLevel="0" collapsed="false">
      <c r="A156" s="0" t="s">
        <v>18</v>
      </c>
      <c r="B156" s="0" t="n">
        <v>0.3</v>
      </c>
      <c r="C156" s="0" t="s">
        <v>37</v>
      </c>
      <c r="D156" s="0" t="n">
        <v>42.18</v>
      </c>
    </row>
    <row r="157" customFormat="false" ht="15" hidden="false" customHeight="false" outlineLevel="0" collapsed="false">
      <c r="A157" s="0" t="s">
        <v>18</v>
      </c>
      <c r="B157" s="0" t="n">
        <v>0.3</v>
      </c>
      <c r="C157" s="0" t="s">
        <v>37</v>
      </c>
      <c r="D157" s="0" t="n">
        <v>40.92</v>
      </c>
    </row>
    <row r="158" customFormat="false" ht="15" hidden="false" customHeight="false" outlineLevel="0" collapsed="false">
      <c r="A158" s="0" t="s">
        <v>18</v>
      </c>
      <c r="B158" s="0" t="n">
        <v>0.3</v>
      </c>
      <c r="C158" s="0" t="s">
        <v>38</v>
      </c>
      <c r="D158" s="0" t="n">
        <v>42.51</v>
      </c>
    </row>
    <row r="159" customFormat="false" ht="15" hidden="false" customHeight="false" outlineLevel="0" collapsed="false">
      <c r="A159" s="0" t="s">
        <v>18</v>
      </c>
      <c r="B159" s="0" t="n">
        <v>0.3</v>
      </c>
      <c r="C159" s="0" t="s">
        <v>38</v>
      </c>
      <c r="D159" s="0" t="n">
        <v>42.51</v>
      </c>
    </row>
    <row r="160" customFormat="false" ht="15" hidden="false" customHeight="false" outlineLevel="0" collapsed="false">
      <c r="A160" s="0" t="s">
        <v>18</v>
      </c>
      <c r="B160" s="0" t="n">
        <v>0.3</v>
      </c>
      <c r="C160" s="0" t="s">
        <v>38</v>
      </c>
      <c r="D160" s="0" t="n">
        <v>45.19</v>
      </c>
    </row>
    <row r="161" customFormat="false" ht="15" hidden="false" customHeight="false" outlineLevel="0" collapsed="false">
      <c r="A161" s="0" t="s">
        <v>18</v>
      </c>
      <c r="B161" s="0" t="n">
        <v>0.3</v>
      </c>
      <c r="C161" s="0" t="s">
        <v>39</v>
      </c>
      <c r="D161" s="0" t="n">
        <v>39.89</v>
      </c>
    </row>
    <row r="162" customFormat="false" ht="15" hidden="false" customHeight="false" outlineLevel="0" collapsed="false">
      <c r="A162" s="0" t="s">
        <v>18</v>
      </c>
      <c r="B162" s="0" t="n">
        <v>0.3</v>
      </c>
      <c r="C162" s="0" t="s">
        <v>39</v>
      </c>
      <c r="D162" s="0" t="n">
        <v>49.63</v>
      </c>
    </row>
    <row r="163" customFormat="false" ht="15" hidden="false" customHeight="false" outlineLevel="0" collapsed="false">
      <c r="A163" s="0" t="s">
        <v>18</v>
      </c>
      <c r="B163" s="0" t="n">
        <v>0.3</v>
      </c>
      <c r="C163" s="0" t="s">
        <v>39</v>
      </c>
      <c r="D163" s="0" t="n">
        <v>42.93</v>
      </c>
    </row>
    <row r="164" customFormat="false" ht="15" hidden="false" customHeight="false" outlineLevel="0" collapsed="false">
      <c r="A164" s="0" t="s">
        <v>18</v>
      </c>
      <c r="B164" s="0" t="n">
        <v>0.3</v>
      </c>
      <c r="C164" s="0" t="s">
        <v>40</v>
      </c>
      <c r="D164" s="0" t="n">
        <v>167.93</v>
      </c>
    </row>
    <row r="165" customFormat="false" ht="15" hidden="false" customHeight="false" outlineLevel="0" collapsed="false">
      <c r="A165" s="0" t="s">
        <v>18</v>
      </c>
      <c r="B165" s="0" t="n">
        <v>0.3</v>
      </c>
      <c r="C165" s="0" t="s">
        <v>40</v>
      </c>
      <c r="D165" s="0" t="n">
        <v>56.22</v>
      </c>
    </row>
    <row r="166" customFormat="false" ht="15" hidden="false" customHeight="false" outlineLevel="0" collapsed="false">
      <c r="A166" s="0" t="s">
        <v>18</v>
      </c>
      <c r="B166" s="0" t="n">
        <v>0.3</v>
      </c>
      <c r="C166" s="0" t="s">
        <v>41</v>
      </c>
      <c r="D166" s="0" t="n">
        <v>59.23</v>
      </c>
    </row>
    <row r="167" customFormat="false" ht="15" hidden="false" customHeight="false" outlineLevel="0" collapsed="false">
      <c r="A167" s="0" t="s">
        <v>18</v>
      </c>
      <c r="B167" s="0" t="n">
        <v>0.3</v>
      </c>
      <c r="C167" s="0" t="s">
        <v>41</v>
      </c>
      <c r="D167" s="0" t="n">
        <v>32.88</v>
      </c>
    </row>
    <row r="168" customFormat="false" ht="15" hidden="false" customHeight="false" outlineLevel="0" collapsed="false">
      <c r="A168" s="0" t="s">
        <v>18</v>
      </c>
      <c r="B168" s="0" t="n">
        <v>0.4</v>
      </c>
      <c r="C168" s="0" t="s">
        <v>33</v>
      </c>
      <c r="D168" s="0" t="n">
        <v>40.51</v>
      </c>
    </row>
    <row r="169" customFormat="false" ht="15" hidden="false" customHeight="false" outlineLevel="0" collapsed="false">
      <c r="A169" s="0" t="s">
        <v>18</v>
      </c>
      <c r="B169" s="0" t="n">
        <v>0.4</v>
      </c>
      <c r="C169" s="0" t="s">
        <v>33</v>
      </c>
      <c r="D169" s="0" t="n">
        <v>40.67</v>
      </c>
    </row>
    <row r="170" customFormat="false" ht="15" hidden="false" customHeight="false" outlineLevel="0" collapsed="false">
      <c r="A170" s="0" t="s">
        <v>18</v>
      </c>
      <c r="B170" s="0" t="n">
        <v>0.4</v>
      </c>
      <c r="C170" s="0" t="s">
        <v>33</v>
      </c>
      <c r="D170" s="0" t="n">
        <v>38.9</v>
      </c>
    </row>
    <row r="171" customFormat="false" ht="15" hidden="false" customHeight="false" outlineLevel="0" collapsed="false">
      <c r="A171" s="0" t="s">
        <v>18</v>
      </c>
      <c r="B171" s="0" t="n">
        <v>0.4</v>
      </c>
      <c r="C171" s="0" t="s">
        <v>34</v>
      </c>
      <c r="D171" s="0" t="n">
        <v>59.11</v>
      </c>
    </row>
    <row r="172" customFormat="false" ht="15" hidden="false" customHeight="false" outlineLevel="0" collapsed="false">
      <c r="A172" s="0" t="s">
        <v>18</v>
      </c>
      <c r="B172" s="0" t="n">
        <v>0.4</v>
      </c>
      <c r="C172" s="0" t="s">
        <v>34</v>
      </c>
      <c r="D172" s="0" t="n">
        <v>61.91</v>
      </c>
    </row>
    <row r="173" customFormat="false" ht="15" hidden="false" customHeight="false" outlineLevel="0" collapsed="false">
      <c r="A173" s="0" t="s">
        <v>18</v>
      </c>
      <c r="B173" s="0" t="n">
        <v>0.4</v>
      </c>
      <c r="C173" s="0" t="s">
        <v>34</v>
      </c>
      <c r="D173" s="0" t="n">
        <v>45.96</v>
      </c>
    </row>
    <row r="174" customFormat="false" ht="15" hidden="false" customHeight="false" outlineLevel="0" collapsed="false">
      <c r="A174" s="0" t="s">
        <v>18</v>
      </c>
      <c r="B174" s="0" t="n">
        <v>0.4</v>
      </c>
      <c r="C174" s="0" t="s">
        <v>35</v>
      </c>
      <c r="D174" s="0" t="n">
        <v>65.58</v>
      </c>
    </row>
    <row r="175" customFormat="false" ht="15" hidden="false" customHeight="false" outlineLevel="0" collapsed="false">
      <c r="A175" s="0" t="s">
        <v>18</v>
      </c>
      <c r="B175" s="0" t="n">
        <v>0.4</v>
      </c>
      <c r="C175" s="0" t="s">
        <v>35</v>
      </c>
      <c r="D175" s="0" t="n">
        <v>74.55</v>
      </c>
    </row>
    <row r="176" customFormat="false" ht="15" hidden="false" customHeight="false" outlineLevel="0" collapsed="false">
      <c r="A176" s="0" t="s">
        <v>18</v>
      </c>
      <c r="B176" s="0" t="n">
        <v>0.4</v>
      </c>
      <c r="C176" s="0" t="s">
        <v>35</v>
      </c>
      <c r="D176" s="0" t="n">
        <v>42.93</v>
      </c>
    </row>
    <row r="177" customFormat="false" ht="15" hidden="false" customHeight="false" outlineLevel="0" collapsed="false">
      <c r="A177" s="0" t="s">
        <v>18</v>
      </c>
      <c r="B177" s="0" t="n">
        <v>0.4</v>
      </c>
      <c r="C177" s="0" t="s">
        <v>36</v>
      </c>
      <c r="D177" s="0" t="n">
        <v>38.33</v>
      </c>
    </row>
    <row r="178" customFormat="false" ht="15" hidden="false" customHeight="false" outlineLevel="0" collapsed="false">
      <c r="A178" s="0" t="s">
        <v>18</v>
      </c>
      <c r="B178" s="0" t="n">
        <v>0.4</v>
      </c>
      <c r="C178" s="0" t="s">
        <v>36</v>
      </c>
      <c r="D178" s="0" t="n">
        <v>38.33</v>
      </c>
    </row>
    <row r="179" customFormat="false" ht="15" hidden="false" customHeight="false" outlineLevel="0" collapsed="false">
      <c r="A179" s="0" t="s">
        <v>18</v>
      </c>
      <c r="B179" s="0" t="n">
        <v>0.4</v>
      </c>
      <c r="C179" s="0" t="s">
        <v>36</v>
      </c>
      <c r="D179" s="0" t="n">
        <v>36.78</v>
      </c>
    </row>
    <row r="180" customFormat="false" ht="15" hidden="false" customHeight="false" outlineLevel="0" collapsed="false">
      <c r="A180" s="0" t="s">
        <v>18</v>
      </c>
      <c r="B180" s="0" t="n">
        <v>0.4</v>
      </c>
      <c r="C180" s="0" t="s">
        <v>37</v>
      </c>
      <c r="D180" s="0" t="n">
        <v>39.97</v>
      </c>
    </row>
    <row r="181" customFormat="false" ht="15" hidden="false" customHeight="false" outlineLevel="0" collapsed="false">
      <c r="A181" s="0" t="s">
        <v>18</v>
      </c>
      <c r="B181" s="0" t="n">
        <v>0.4</v>
      </c>
      <c r="C181" s="0" t="s">
        <v>37</v>
      </c>
      <c r="D181" s="0" t="n">
        <v>99.07</v>
      </c>
    </row>
    <row r="182" customFormat="false" ht="15" hidden="false" customHeight="false" outlineLevel="0" collapsed="false">
      <c r="A182" s="0" t="s">
        <v>18</v>
      </c>
      <c r="B182" s="0" t="n">
        <v>0.4</v>
      </c>
      <c r="C182" s="0" t="s">
        <v>37</v>
      </c>
      <c r="D182" s="0" t="n">
        <v>42.18</v>
      </c>
    </row>
    <row r="183" customFormat="false" ht="15" hidden="false" customHeight="false" outlineLevel="0" collapsed="false">
      <c r="A183" s="0" t="s">
        <v>18</v>
      </c>
      <c r="B183" s="0" t="n">
        <v>0.4</v>
      </c>
      <c r="C183" s="0" t="s">
        <v>38</v>
      </c>
      <c r="D183" s="0" t="n">
        <v>38.39</v>
      </c>
    </row>
    <row r="184" customFormat="false" ht="15" hidden="false" customHeight="false" outlineLevel="0" collapsed="false">
      <c r="A184" s="0" t="s">
        <v>18</v>
      </c>
      <c r="B184" s="0" t="n">
        <v>0.4</v>
      </c>
      <c r="C184" s="0" t="s">
        <v>38</v>
      </c>
      <c r="D184" s="0" t="n">
        <v>105.39</v>
      </c>
    </row>
    <row r="185" customFormat="false" ht="15" hidden="false" customHeight="false" outlineLevel="0" collapsed="false">
      <c r="A185" s="0" t="s">
        <v>18</v>
      </c>
      <c r="B185" s="0" t="n">
        <v>0.4</v>
      </c>
      <c r="C185" s="0" t="s">
        <v>38</v>
      </c>
      <c r="D185" s="0" t="n">
        <v>43.48</v>
      </c>
    </row>
    <row r="186" customFormat="false" ht="15" hidden="false" customHeight="false" outlineLevel="0" collapsed="false">
      <c r="A186" s="0" t="s">
        <v>18</v>
      </c>
      <c r="B186" s="0" t="n">
        <v>0.4</v>
      </c>
      <c r="C186" s="0" t="s">
        <v>39</v>
      </c>
      <c r="D186" s="0" t="n">
        <v>42.93</v>
      </c>
    </row>
    <row r="187" customFormat="false" ht="15" hidden="false" customHeight="false" outlineLevel="0" collapsed="false">
      <c r="A187" s="0" t="s">
        <v>18</v>
      </c>
      <c r="B187" s="0" t="n">
        <v>0.4</v>
      </c>
      <c r="C187" s="0" t="s">
        <v>39</v>
      </c>
      <c r="D187" s="0" t="n">
        <v>39.89</v>
      </c>
    </row>
    <row r="188" customFormat="false" ht="15" hidden="false" customHeight="false" outlineLevel="0" collapsed="false">
      <c r="A188" s="0" t="s">
        <v>18</v>
      </c>
      <c r="B188" s="0" t="n">
        <v>0.4</v>
      </c>
      <c r="C188" s="0" t="s">
        <v>39</v>
      </c>
      <c r="D188" s="0" t="n">
        <v>97.05</v>
      </c>
    </row>
    <row r="189" customFormat="false" ht="15" hidden="false" customHeight="false" outlineLevel="0" collapsed="false">
      <c r="A189" s="0" t="s">
        <v>18</v>
      </c>
      <c r="B189" s="0" t="n">
        <v>0.4</v>
      </c>
      <c r="C189" s="0" t="s">
        <v>40</v>
      </c>
      <c r="D189" s="0" t="n">
        <v>49.93</v>
      </c>
    </row>
    <row r="190" customFormat="false" ht="15" hidden="false" customHeight="false" outlineLevel="0" collapsed="false">
      <c r="A190" s="0" t="s">
        <v>18</v>
      </c>
      <c r="B190" s="0" t="n">
        <v>0.4</v>
      </c>
      <c r="C190" s="0" t="s">
        <v>40</v>
      </c>
      <c r="D190" s="0" t="n">
        <v>56.22</v>
      </c>
    </row>
    <row r="191" customFormat="false" ht="15" hidden="false" customHeight="false" outlineLevel="0" collapsed="false">
      <c r="A191" s="0" t="s">
        <v>18</v>
      </c>
      <c r="B191" s="0" t="n">
        <v>0.4</v>
      </c>
      <c r="C191" s="0" t="s">
        <v>41</v>
      </c>
      <c r="D191" s="0" t="n">
        <v>38.17</v>
      </c>
    </row>
    <row r="192" customFormat="false" ht="15" hidden="false" customHeight="false" outlineLevel="0" collapsed="false">
      <c r="A192" s="0" t="s">
        <v>18</v>
      </c>
      <c r="B192" s="0" t="n">
        <v>0.4</v>
      </c>
      <c r="C192" s="0" t="s">
        <v>41</v>
      </c>
      <c r="D192" s="0" t="n">
        <v>56.77</v>
      </c>
    </row>
    <row r="193" customFormat="false" ht="15" hidden="false" customHeight="false" outlineLevel="0" collapsed="false">
      <c r="A193" s="0" t="s">
        <v>18</v>
      </c>
      <c r="B193" s="0" t="n">
        <v>0.5</v>
      </c>
      <c r="C193" s="0" t="s">
        <v>33</v>
      </c>
      <c r="D193" s="0" t="n">
        <v>35.23</v>
      </c>
    </row>
    <row r="194" customFormat="false" ht="15" hidden="false" customHeight="false" outlineLevel="0" collapsed="false">
      <c r="A194" s="0" t="s">
        <v>18</v>
      </c>
      <c r="B194" s="0" t="n">
        <v>0.5</v>
      </c>
      <c r="C194" s="0" t="s">
        <v>33</v>
      </c>
      <c r="D194" s="0" t="n">
        <v>50.53</v>
      </c>
    </row>
    <row r="195" customFormat="false" ht="15" hidden="false" customHeight="false" outlineLevel="0" collapsed="false">
      <c r="A195" s="0" t="s">
        <v>18</v>
      </c>
      <c r="B195" s="0" t="n">
        <v>0.5</v>
      </c>
      <c r="C195" s="0" t="s">
        <v>33</v>
      </c>
      <c r="D195" s="0" t="n">
        <v>40.23</v>
      </c>
    </row>
    <row r="196" customFormat="false" ht="15" hidden="false" customHeight="false" outlineLevel="0" collapsed="false">
      <c r="A196" s="0" t="s">
        <v>18</v>
      </c>
      <c r="B196" s="0" t="n">
        <v>0.5</v>
      </c>
      <c r="C196" s="0" t="s">
        <v>34</v>
      </c>
      <c r="D196" s="0" t="n">
        <v>44.84</v>
      </c>
    </row>
    <row r="197" customFormat="false" ht="15" hidden="false" customHeight="false" outlineLevel="0" collapsed="false">
      <c r="A197" s="0" t="s">
        <v>18</v>
      </c>
      <c r="B197" s="0" t="n">
        <v>0.5</v>
      </c>
      <c r="C197" s="0" t="s">
        <v>34</v>
      </c>
      <c r="D197" s="0" t="n">
        <v>64.13</v>
      </c>
    </row>
    <row r="198" customFormat="false" ht="15" hidden="false" customHeight="false" outlineLevel="0" collapsed="false">
      <c r="A198" s="0" t="s">
        <v>18</v>
      </c>
      <c r="B198" s="0" t="n">
        <v>0.5</v>
      </c>
      <c r="C198" s="0" t="s">
        <v>34</v>
      </c>
      <c r="D198" s="0" t="n">
        <v>59.98</v>
      </c>
    </row>
    <row r="199" customFormat="false" ht="15" hidden="false" customHeight="false" outlineLevel="0" collapsed="false">
      <c r="A199" s="0" t="s">
        <v>18</v>
      </c>
      <c r="B199" s="0" t="n">
        <v>0.5</v>
      </c>
      <c r="C199" s="0" t="s">
        <v>35</v>
      </c>
      <c r="D199" s="0" t="n">
        <v>43.91</v>
      </c>
    </row>
    <row r="200" customFormat="false" ht="15" hidden="false" customHeight="false" outlineLevel="0" collapsed="false">
      <c r="A200" s="0" t="s">
        <v>18</v>
      </c>
      <c r="B200" s="0" t="n">
        <v>0.5</v>
      </c>
      <c r="C200" s="0" t="s">
        <v>35</v>
      </c>
      <c r="D200" s="0" t="n">
        <v>65.58</v>
      </c>
    </row>
    <row r="201" customFormat="false" ht="15" hidden="false" customHeight="false" outlineLevel="0" collapsed="false">
      <c r="A201" s="0" t="s">
        <v>18</v>
      </c>
      <c r="B201" s="0" t="n">
        <v>0.5</v>
      </c>
      <c r="C201" s="0" t="s">
        <v>36</v>
      </c>
      <c r="D201" s="0" t="n">
        <v>38.33</v>
      </c>
    </row>
    <row r="202" customFormat="false" ht="15" hidden="false" customHeight="false" outlineLevel="0" collapsed="false">
      <c r="A202" s="0" t="s">
        <v>18</v>
      </c>
      <c r="B202" s="0" t="n">
        <v>0.5</v>
      </c>
      <c r="C202" s="0" t="s">
        <v>36</v>
      </c>
      <c r="D202" s="0" t="n">
        <v>42.25</v>
      </c>
    </row>
    <row r="203" customFormat="false" ht="15" hidden="false" customHeight="false" outlineLevel="0" collapsed="false">
      <c r="A203" s="0" t="s">
        <v>18</v>
      </c>
      <c r="B203" s="0" t="n">
        <v>0.5</v>
      </c>
      <c r="C203" s="0" t="s">
        <v>36</v>
      </c>
      <c r="D203" s="0" t="n">
        <v>76.01</v>
      </c>
    </row>
    <row r="204" customFormat="false" ht="15" hidden="false" customHeight="false" outlineLevel="0" collapsed="false">
      <c r="A204" s="0" t="s">
        <v>18</v>
      </c>
      <c r="B204" s="0" t="n">
        <v>0.5</v>
      </c>
      <c r="C204" s="0" t="s">
        <v>37</v>
      </c>
      <c r="D204" s="0" t="n">
        <v>131.65</v>
      </c>
    </row>
    <row r="205" customFormat="false" ht="15" hidden="false" customHeight="false" outlineLevel="0" collapsed="false">
      <c r="A205" s="0" t="s">
        <v>18</v>
      </c>
      <c r="B205" s="0" t="n">
        <v>0.5</v>
      </c>
      <c r="C205" s="0" t="s">
        <v>37</v>
      </c>
      <c r="D205" s="0" t="n">
        <v>29.35</v>
      </c>
    </row>
    <row r="206" customFormat="false" ht="15" hidden="false" customHeight="false" outlineLevel="0" collapsed="false">
      <c r="A206" s="0" t="s">
        <v>18</v>
      </c>
      <c r="B206" s="0" t="n">
        <v>0.5</v>
      </c>
      <c r="C206" s="0" t="s">
        <v>37</v>
      </c>
      <c r="D206" s="0" t="n">
        <v>42.18</v>
      </c>
    </row>
    <row r="207" customFormat="false" ht="15" hidden="false" customHeight="false" outlineLevel="0" collapsed="false">
      <c r="A207" s="0" t="s">
        <v>18</v>
      </c>
      <c r="B207" s="0" t="n">
        <v>0.5</v>
      </c>
      <c r="C207" s="0" t="s">
        <v>38</v>
      </c>
      <c r="D207" s="0" t="n">
        <v>45.19</v>
      </c>
    </row>
    <row r="208" customFormat="false" ht="15" hidden="false" customHeight="false" outlineLevel="0" collapsed="false">
      <c r="A208" s="0" t="s">
        <v>18</v>
      </c>
      <c r="B208" s="0" t="n">
        <v>0.5</v>
      </c>
      <c r="C208" s="0" t="s">
        <v>38</v>
      </c>
      <c r="D208" s="0" t="n">
        <v>45.19</v>
      </c>
    </row>
    <row r="209" customFormat="false" ht="15" hidden="false" customHeight="false" outlineLevel="0" collapsed="false">
      <c r="A209" s="0" t="s">
        <v>18</v>
      </c>
      <c r="B209" s="0" t="n">
        <v>0.5</v>
      </c>
      <c r="C209" s="0" t="s">
        <v>39</v>
      </c>
      <c r="D209" s="0" t="n">
        <v>31.06</v>
      </c>
    </row>
    <row r="210" customFormat="false" ht="15" hidden="false" customHeight="false" outlineLevel="0" collapsed="false">
      <c r="A210" s="0" t="s">
        <v>18</v>
      </c>
      <c r="B210" s="0" t="n">
        <v>0.5</v>
      </c>
      <c r="C210" s="0" t="s">
        <v>39</v>
      </c>
      <c r="D210" s="0" t="n">
        <v>42.93</v>
      </c>
    </row>
    <row r="211" customFormat="false" ht="15" hidden="false" customHeight="false" outlineLevel="0" collapsed="false">
      <c r="A211" s="0" t="s">
        <v>18</v>
      </c>
      <c r="B211" s="0" t="n">
        <v>0.5</v>
      </c>
      <c r="C211" s="0" t="s">
        <v>39</v>
      </c>
      <c r="D211" s="0" t="n">
        <v>97.05</v>
      </c>
    </row>
    <row r="212" customFormat="false" ht="15" hidden="false" customHeight="false" outlineLevel="0" collapsed="false">
      <c r="A212" s="0" t="s">
        <v>18</v>
      </c>
      <c r="B212" s="0" t="n">
        <v>0.5</v>
      </c>
      <c r="C212" s="0" t="s">
        <v>40</v>
      </c>
      <c r="D212" s="0" t="n">
        <v>172.18</v>
      </c>
    </row>
    <row r="213" customFormat="false" ht="15" hidden="false" customHeight="false" outlineLevel="0" collapsed="false">
      <c r="A213" s="0" t="s">
        <v>18</v>
      </c>
      <c r="B213" s="0" t="n">
        <v>0.5</v>
      </c>
      <c r="C213" s="0" t="s">
        <v>41</v>
      </c>
      <c r="D213" s="0" t="n">
        <v>56.09</v>
      </c>
    </row>
    <row r="214" customFormat="false" ht="15" hidden="false" customHeight="false" outlineLevel="0" collapsed="false">
      <c r="A214" s="0" t="s">
        <v>19</v>
      </c>
      <c r="B214" s="0" t="n">
        <v>0.3</v>
      </c>
      <c r="C214" s="0" t="s">
        <v>33</v>
      </c>
      <c r="D214" s="0" t="n">
        <v>39.79</v>
      </c>
    </row>
    <row r="215" customFormat="false" ht="15" hidden="false" customHeight="false" outlineLevel="0" collapsed="false">
      <c r="A215" s="0" t="s">
        <v>19</v>
      </c>
      <c r="B215" s="0" t="n">
        <v>0.3</v>
      </c>
      <c r="C215" s="0" t="s">
        <v>33</v>
      </c>
      <c r="D215" s="0" t="n">
        <v>44.32</v>
      </c>
    </row>
    <row r="216" customFormat="false" ht="15" hidden="false" customHeight="false" outlineLevel="0" collapsed="false">
      <c r="A216" s="0" t="s">
        <v>19</v>
      </c>
      <c r="B216" s="0" t="n">
        <v>0.3</v>
      </c>
      <c r="C216" s="0" t="s">
        <v>33</v>
      </c>
      <c r="D216" s="0" t="n">
        <v>42.93</v>
      </c>
    </row>
    <row r="217" customFormat="false" ht="15" hidden="false" customHeight="false" outlineLevel="0" collapsed="false">
      <c r="A217" s="0" t="s">
        <v>19</v>
      </c>
      <c r="B217" s="0" t="n">
        <v>0.3</v>
      </c>
      <c r="C217" s="0" t="s">
        <v>34</v>
      </c>
      <c r="D217" s="0" t="n">
        <v>54.43</v>
      </c>
    </row>
    <row r="218" customFormat="false" ht="15" hidden="false" customHeight="false" outlineLevel="0" collapsed="false">
      <c r="A218" s="0" t="s">
        <v>19</v>
      </c>
      <c r="B218" s="0" t="n">
        <v>0.3</v>
      </c>
      <c r="C218" s="0" t="s">
        <v>34</v>
      </c>
      <c r="D218" s="0" t="n">
        <v>58.9</v>
      </c>
    </row>
    <row r="219" customFormat="false" ht="15" hidden="false" customHeight="false" outlineLevel="0" collapsed="false">
      <c r="A219" s="0" t="s">
        <v>19</v>
      </c>
      <c r="B219" s="0" t="n">
        <v>0.3</v>
      </c>
      <c r="C219" s="0" t="s">
        <v>34</v>
      </c>
      <c r="D219" s="0" t="n">
        <v>49.5</v>
      </c>
    </row>
    <row r="220" customFormat="false" ht="15" hidden="false" customHeight="false" outlineLevel="0" collapsed="false">
      <c r="A220" s="0" t="s">
        <v>19</v>
      </c>
      <c r="B220" s="0" t="n">
        <v>0.3</v>
      </c>
      <c r="C220" s="0" t="s">
        <v>35</v>
      </c>
      <c r="D220" s="0" t="n">
        <v>45.58</v>
      </c>
    </row>
    <row r="221" customFormat="false" ht="15" hidden="false" customHeight="false" outlineLevel="0" collapsed="false">
      <c r="A221" s="0" t="s">
        <v>19</v>
      </c>
      <c r="B221" s="0" t="n">
        <v>0.3</v>
      </c>
      <c r="C221" s="0" t="s">
        <v>35</v>
      </c>
      <c r="D221" s="0" t="n">
        <v>45.96</v>
      </c>
    </row>
    <row r="222" customFormat="false" ht="15" hidden="false" customHeight="false" outlineLevel="0" collapsed="false">
      <c r="A222" s="0" t="s">
        <v>19</v>
      </c>
      <c r="B222" s="0" t="n">
        <v>0.3</v>
      </c>
      <c r="C222" s="0" t="s">
        <v>35</v>
      </c>
      <c r="D222" s="0" t="n">
        <v>47.87</v>
      </c>
    </row>
    <row r="223" customFormat="false" ht="15" hidden="false" customHeight="false" outlineLevel="0" collapsed="false">
      <c r="A223" s="0" t="s">
        <v>19</v>
      </c>
      <c r="B223" s="0" t="n">
        <v>0.3</v>
      </c>
      <c r="C223" s="0" t="s">
        <v>36</v>
      </c>
      <c r="D223" s="0" t="n">
        <v>43.44</v>
      </c>
    </row>
    <row r="224" customFormat="false" ht="15" hidden="false" customHeight="false" outlineLevel="0" collapsed="false">
      <c r="A224" s="0" t="s">
        <v>19</v>
      </c>
      <c r="B224" s="0" t="n">
        <v>0.3</v>
      </c>
      <c r="C224" s="0" t="s">
        <v>36</v>
      </c>
      <c r="D224" s="0" t="n">
        <v>64.23</v>
      </c>
    </row>
    <row r="225" customFormat="false" ht="15" hidden="false" customHeight="false" outlineLevel="0" collapsed="false">
      <c r="A225" s="0" t="s">
        <v>19</v>
      </c>
      <c r="B225" s="0" t="n">
        <v>0.3</v>
      </c>
      <c r="C225" s="0" t="s">
        <v>36</v>
      </c>
      <c r="D225" s="0" t="n">
        <v>36.34</v>
      </c>
    </row>
    <row r="226" customFormat="false" ht="15" hidden="false" customHeight="false" outlineLevel="0" collapsed="false">
      <c r="A226" s="0" t="s">
        <v>19</v>
      </c>
      <c r="B226" s="0" t="n">
        <v>0.3</v>
      </c>
      <c r="C226" s="0" t="s">
        <v>37</v>
      </c>
      <c r="D226" s="0" t="n">
        <v>53.12</v>
      </c>
    </row>
    <row r="227" customFormat="false" ht="15" hidden="false" customHeight="false" outlineLevel="0" collapsed="false">
      <c r="A227" s="0" t="s">
        <v>19</v>
      </c>
      <c r="B227" s="0" t="n">
        <v>0.3</v>
      </c>
      <c r="C227" s="0" t="s">
        <v>37</v>
      </c>
      <c r="D227" s="0" t="n">
        <v>38.2</v>
      </c>
    </row>
    <row r="228" customFormat="false" ht="15" hidden="false" customHeight="false" outlineLevel="0" collapsed="false">
      <c r="A228" s="0" t="s">
        <v>19</v>
      </c>
      <c r="B228" s="0" t="n">
        <v>0.3</v>
      </c>
      <c r="C228" s="0" t="s">
        <v>37</v>
      </c>
      <c r="D228" s="0" t="n">
        <v>43.22</v>
      </c>
    </row>
    <row r="229" customFormat="false" ht="15" hidden="false" customHeight="false" outlineLevel="0" collapsed="false">
      <c r="A229" s="0" t="s">
        <v>19</v>
      </c>
      <c r="B229" s="0" t="n">
        <v>0.3</v>
      </c>
      <c r="C229" s="0" t="s">
        <v>38</v>
      </c>
      <c r="D229" s="0" t="n">
        <v>58.77</v>
      </c>
    </row>
    <row r="230" customFormat="false" ht="15" hidden="false" customHeight="false" outlineLevel="0" collapsed="false">
      <c r="A230" s="0" t="s">
        <v>19</v>
      </c>
      <c r="B230" s="0" t="n">
        <v>0.3</v>
      </c>
      <c r="C230" s="0" t="s">
        <v>38</v>
      </c>
      <c r="D230" s="0" t="n">
        <v>95.06</v>
      </c>
    </row>
    <row r="231" customFormat="false" ht="15" hidden="false" customHeight="false" outlineLevel="0" collapsed="false">
      <c r="A231" s="0" t="s">
        <v>19</v>
      </c>
      <c r="B231" s="0" t="n">
        <v>0.3</v>
      </c>
      <c r="C231" s="0" t="s">
        <v>38</v>
      </c>
      <c r="D231" s="0" t="n">
        <v>67.04</v>
      </c>
    </row>
    <row r="232" customFormat="false" ht="15" hidden="false" customHeight="false" outlineLevel="0" collapsed="false">
      <c r="A232" s="0" t="s">
        <v>19</v>
      </c>
      <c r="B232" s="0" t="n">
        <v>0.3</v>
      </c>
      <c r="C232" s="0" t="s">
        <v>39</v>
      </c>
      <c r="D232" s="0" t="n">
        <v>50.39</v>
      </c>
    </row>
    <row r="233" customFormat="false" ht="15" hidden="false" customHeight="false" outlineLevel="0" collapsed="false">
      <c r="A233" s="0" t="s">
        <v>19</v>
      </c>
      <c r="B233" s="0" t="n">
        <v>0.3</v>
      </c>
      <c r="C233" s="0" t="s">
        <v>39</v>
      </c>
      <c r="D233" s="0" t="n">
        <v>57.74</v>
      </c>
    </row>
    <row r="234" customFormat="false" ht="15" hidden="false" customHeight="false" outlineLevel="0" collapsed="false">
      <c r="A234" s="0" t="s">
        <v>19</v>
      </c>
      <c r="B234" s="0" t="n">
        <v>0.3</v>
      </c>
      <c r="C234" s="0" t="s">
        <v>39</v>
      </c>
      <c r="D234" s="0" t="n">
        <v>61.57</v>
      </c>
    </row>
    <row r="235" customFormat="false" ht="15" hidden="false" customHeight="false" outlineLevel="0" collapsed="false">
      <c r="A235" s="0" t="s">
        <v>19</v>
      </c>
      <c r="B235" s="0" t="n">
        <v>0.3</v>
      </c>
      <c r="C235" s="0" t="s">
        <v>40</v>
      </c>
      <c r="D235" s="0" t="n">
        <v>71.36</v>
      </c>
    </row>
    <row r="236" customFormat="false" ht="15" hidden="false" customHeight="false" outlineLevel="0" collapsed="false">
      <c r="A236" s="0" t="s">
        <v>19</v>
      </c>
      <c r="B236" s="0" t="n">
        <v>0.3</v>
      </c>
      <c r="C236" s="0" t="s">
        <v>40</v>
      </c>
      <c r="D236" s="0" t="n">
        <v>117.99</v>
      </c>
    </row>
    <row r="237" customFormat="false" ht="15" hidden="false" customHeight="false" outlineLevel="0" collapsed="false">
      <c r="A237" s="0" t="s">
        <v>19</v>
      </c>
      <c r="B237" s="0" t="n">
        <v>0.3</v>
      </c>
      <c r="C237" s="0" t="s">
        <v>41</v>
      </c>
      <c r="D237" s="0" t="n">
        <v>33.97</v>
      </c>
    </row>
    <row r="238" customFormat="false" ht="15" hidden="false" customHeight="false" outlineLevel="0" collapsed="false">
      <c r="A238" s="0" t="s">
        <v>19</v>
      </c>
      <c r="B238" s="0" t="n">
        <v>0.3</v>
      </c>
      <c r="C238" s="0" t="s">
        <v>41</v>
      </c>
      <c r="D238" s="0" t="n">
        <v>-6.78</v>
      </c>
    </row>
    <row r="239" customFormat="false" ht="15" hidden="false" customHeight="false" outlineLevel="0" collapsed="false">
      <c r="A239" s="0" t="s">
        <v>19</v>
      </c>
      <c r="B239" s="0" t="n">
        <v>0.4</v>
      </c>
      <c r="C239" s="0" t="s">
        <v>33</v>
      </c>
      <c r="D239" s="0" t="n">
        <v>51.93</v>
      </c>
    </row>
    <row r="240" customFormat="false" ht="15" hidden="false" customHeight="false" outlineLevel="0" collapsed="false">
      <c r="A240" s="0" t="s">
        <v>19</v>
      </c>
      <c r="B240" s="0" t="n">
        <v>0.4</v>
      </c>
      <c r="C240" s="0" t="s">
        <v>33</v>
      </c>
      <c r="D240" s="0" t="n">
        <v>42.44</v>
      </c>
    </row>
    <row r="241" customFormat="false" ht="15" hidden="false" customHeight="false" outlineLevel="0" collapsed="false">
      <c r="A241" s="0" t="s">
        <v>19</v>
      </c>
      <c r="B241" s="0" t="n">
        <v>0.4</v>
      </c>
      <c r="C241" s="0" t="s">
        <v>33</v>
      </c>
      <c r="D241" s="0" t="n">
        <v>44.52</v>
      </c>
    </row>
    <row r="242" customFormat="false" ht="15" hidden="false" customHeight="false" outlineLevel="0" collapsed="false">
      <c r="A242" s="0" t="s">
        <v>19</v>
      </c>
      <c r="B242" s="0" t="n">
        <v>0.4</v>
      </c>
      <c r="C242" s="0" t="s">
        <v>34</v>
      </c>
      <c r="D242" s="0" t="n">
        <v>46.87</v>
      </c>
    </row>
    <row r="243" customFormat="false" ht="15" hidden="false" customHeight="false" outlineLevel="0" collapsed="false">
      <c r="A243" s="0" t="s">
        <v>19</v>
      </c>
      <c r="B243" s="0" t="n">
        <v>0.4</v>
      </c>
      <c r="C243" s="0" t="s">
        <v>34</v>
      </c>
      <c r="D243" s="0" t="n">
        <v>60.26</v>
      </c>
    </row>
    <row r="244" customFormat="false" ht="15" hidden="false" customHeight="false" outlineLevel="0" collapsed="false">
      <c r="A244" s="0" t="s">
        <v>19</v>
      </c>
      <c r="B244" s="0" t="n">
        <v>0.4</v>
      </c>
      <c r="C244" s="0" t="s">
        <v>34</v>
      </c>
      <c r="D244" s="0" t="n">
        <v>48.47</v>
      </c>
    </row>
    <row r="245" customFormat="false" ht="15" hidden="false" customHeight="false" outlineLevel="0" collapsed="false">
      <c r="A245" s="0" t="s">
        <v>19</v>
      </c>
      <c r="B245" s="0" t="n">
        <v>0.4</v>
      </c>
      <c r="C245" s="0" t="s">
        <v>35</v>
      </c>
      <c r="D245" s="0" t="n">
        <v>36.44</v>
      </c>
    </row>
    <row r="246" customFormat="false" ht="15" hidden="false" customHeight="false" outlineLevel="0" collapsed="false">
      <c r="A246" s="0" t="s">
        <v>19</v>
      </c>
      <c r="B246" s="0" t="n">
        <v>0.4</v>
      </c>
      <c r="C246" s="0" t="s">
        <v>35</v>
      </c>
      <c r="D246" s="0" t="n">
        <v>43.65</v>
      </c>
    </row>
    <row r="247" customFormat="false" ht="15" hidden="false" customHeight="false" outlineLevel="0" collapsed="false">
      <c r="A247" s="0" t="s">
        <v>19</v>
      </c>
      <c r="B247" s="0" t="n">
        <v>0.4</v>
      </c>
      <c r="C247" s="0" t="s">
        <v>35</v>
      </c>
      <c r="D247" s="0" t="n">
        <v>41.81</v>
      </c>
    </row>
    <row r="248" customFormat="false" ht="15" hidden="false" customHeight="false" outlineLevel="0" collapsed="false">
      <c r="A248" s="0" t="s">
        <v>19</v>
      </c>
      <c r="B248" s="0" t="n">
        <v>0.4</v>
      </c>
      <c r="C248" s="0" t="s">
        <v>36</v>
      </c>
      <c r="D248" s="0" t="n">
        <v>58.23</v>
      </c>
    </row>
    <row r="249" customFormat="false" ht="15" hidden="false" customHeight="false" outlineLevel="0" collapsed="false">
      <c r="A249" s="0" t="s">
        <v>19</v>
      </c>
      <c r="B249" s="0" t="n">
        <v>0.4</v>
      </c>
      <c r="C249" s="0" t="s">
        <v>36</v>
      </c>
      <c r="D249" s="0" t="n">
        <v>42.01</v>
      </c>
    </row>
    <row r="250" customFormat="false" ht="15" hidden="false" customHeight="false" outlineLevel="0" collapsed="false">
      <c r="A250" s="0" t="s">
        <v>19</v>
      </c>
      <c r="B250" s="0" t="n">
        <v>0.4</v>
      </c>
      <c r="C250" s="0" t="s">
        <v>36</v>
      </c>
      <c r="D250" s="0" t="n">
        <v>40.32</v>
      </c>
    </row>
    <row r="251" customFormat="false" ht="15" hidden="false" customHeight="false" outlineLevel="0" collapsed="false">
      <c r="A251" s="0" t="s">
        <v>19</v>
      </c>
      <c r="B251" s="0" t="n">
        <v>0.4</v>
      </c>
      <c r="C251" s="0" t="s">
        <v>37</v>
      </c>
      <c r="D251" s="0" t="n">
        <v>43.17</v>
      </c>
    </row>
    <row r="252" customFormat="false" ht="15" hidden="false" customHeight="false" outlineLevel="0" collapsed="false">
      <c r="A252" s="0" t="s">
        <v>19</v>
      </c>
      <c r="B252" s="0" t="n">
        <v>0.4</v>
      </c>
      <c r="C252" s="0" t="s">
        <v>37</v>
      </c>
      <c r="D252" s="0" t="n">
        <v>26.14</v>
      </c>
    </row>
    <row r="253" customFormat="false" ht="15" hidden="false" customHeight="false" outlineLevel="0" collapsed="false">
      <c r="A253" s="0" t="s">
        <v>19</v>
      </c>
      <c r="B253" s="0" t="n">
        <v>0.4</v>
      </c>
      <c r="C253" s="0" t="s">
        <v>37</v>
      </c>
      <c r="D253" s="0" t="n">
        <v>82.84</v>
      </c>
    </row>
    <row r="254" customFormat="false" ht="15" hidden="false" customHeight="false" outlineLevel="0" collapsed="false">
      <c r="A254" s="0" t="s">
        <v>19</v>
      </c>
      <c r="B254" s="0" t="n">
        <v>0.4</v>
      </c>
      <c r="C254" s="0" t="s">
        <v>38</v>
      </c>
      <c r="D254" s="0" t="n">
        <v>48.48</v>
      </c>
    </row>
    <row r="255" customFormat="false" ht="15" hidden="false" customHeight="false" outlineLevel="0" collapsed="false">
      <c r="A255" s="0" t="s">
        <v>19</v>
      </c>
      <c r="B255" s="0" t="n">
        <v>0.4</v>
      </c>
      <c r="C255" s="0" t="s">
        <v>38</v>
      </c>
      <c r="D255" s="0" t="n">
        <v>62.29</v>
      </c>
    </row>
    <row r="256" customFormat="false" ht="15" hidden="false" customHeight="false" outlineLevel="0" collapsed="false">
      <c r="A256" s="0" t="s">
        <v>19</v>
      </c>
      <c r="B256" s="0" t="n">
        <v>0.4</v>
      </c>
      <c r="C256" s="0" t="s">
        <v>39</v>
      </c>
      <c r="D256" s="0" t="n">
        <v>81.29</v>
      </c>
    </row>
    <row r="257" customFormat="false" ht="15" hidden="false" customHeight="false" outlineLevel="0" collapsed="false">
      <c r="A257" s="0" t="s">
        <v>19</v>
      </c>
      <c r="B257" s="0" t="n">
        <v>0.4</v>
      </c>
      <c r="C257" s="0" t="s">
        <v>39</v>
      </c>
      <c r="D257" s="0" t="n">
        <v>74.75</v>
      </c>
    </row>
    <row r="258" customFormat="false" ht="15" hidden="false" customHeight="false" outlineLevel="0" collapsed="false">
      <c r="A258" s="0" t="s">
        <v>19</v>
      </c>
      <c r="B258" s="0" t="n">
        <v>0.4</v>
      </c>
      <c r="C258" s="0" t="s">
        <v>39</v>
      </c>
      <c r="D258" s="0" t="n">
        <v>91.24</v>
      </c>
    </row>
    <row r="259" customFormat="false" ht="15" hidden="false" customHeight="false" outlineLevel="0" collapsed="false">
      <c r="A259" s="0" t="s">
        <v>19</v>
      </c>
      <c r="B259" s="0" t="n">
        <v>0.4</v>
      </c>
      <c r="C259" s="0" t="s">
        <v>40</v>
      </c>
      <c r="D259" s="0" t="n">
        <v>46</v>
      </c>
    </row>
    <row r="260" customFormat="false" ht="15" hidden="false" customHeight="false" outlineLevel="0" collapsed="false">
      <c r="A260" s="0" t="s">
        <v>19</v>
      </c>
      <c r="B260" s="0" t="n">
        <v>0.4</v>
      </c>
      <c r="C260" s="0" t="s">
        <v>40</v>
      </c>
      <c r="D260" s="0" t="n">
        <v>77.63</v>
      </c>
    </row>
    <row r="261" customFormat="false" ht="15" hidden="false" customHeight="false" outlineLevel="0" collapsed="false">
      <c r="A261" s="0" t="s">
        <v>19</v>
      </c>
      <c r="B261" s="0" t="n">
        <v>0.4</v>
      </c>
      <c r="C261" s="0" t="s">
        <v>41</v>
      </c>
      <c r="D261" s="0" t="n">
        <v>-37.33</v>
      </c>
    </row>
    <row r="262" customFormat="false" ht="15" hidden="false" customHeight="false" outlineLevel="0" collapsed="false">
      <c r="A262" s="0" t="s">
        <v>19</v>
      </c>
      <c r="B262" s="0" t="n">
        <v>0.4</v>
      </c>
      <c r="C262" s="0" t="s">
        <v>41</v>
      </c>
      <c r="D262" s="0" t="n">
        <v>-8.79</v>
      </c>
    </row>
    <row r="263" customFormat="false" ht="15" hidden="false" customHeight="false" outlineLevel="0" collapsed="false">
      <c r="A263" s="0" t="s">
        <v>19</v>
      </c>
      <c r="B263" s="0" t="n">
        <v>0.5</v>
      </c>
      <c r="C263" s="0" t="s">
        <v>33</v>
      </c>
      <c r="D263" s="0" t="n">
        <v>35.96</v>
      </c>
    </row>
    <row r="264" customFormat="false" ht="15" hidden="false" customHeight="false" outlineLevel="0" collapsed="false">
      <c r="A264" s="0" t="s">
        <v>19</v>
      </c>
      <c r="B264" s="0" t="n">
        <v>0.5</v>
      </c>
      <c r="C264" s="0" t="s">
        <v>33</v>
      </c>
      <c r="D264" s="0" t="n">
        <v>47.53</v>
      </c>
    </row>
    <row r="265" customFormat="false" ht="15" hidden="false" customHeight="false" outlineLevel="0" collapsed="false">
      <c r="A265" s="0" t="s">
        <v>19</v>
      </c>
      <c r="B265" s="0" t="n">
        <v>0.5</v>
      </c>
      <c r="C265" s="0" t="s">
        <v>33</v>
      </c>
      <c r="D265" s="0" t="n">
        <v>25.99</v>
      </c>
    </row>
    <row r="266" customFormat="false" ht="15" hidden="false" customHeight="false" outlineLevel="0" collapsed="false">
      <c r="A266" s="0" t="s">
        <v>19</v>
      </c>
      <c r="B266" s="0" t="n">
        <v>0.5</v>
      </c>
      <c r="C266" s="0" t="s">
        <v>34</v>
      </c>
      <c r="D266" s="0" t="n">
        <v>48.22</v>
      </c>
    </row>
    <row r="267" customFormat="false" ht="15" hidden="false" customHeight="false" outlineLevel="0" collapsed="false">
      <c r="A267" s="0" t="s">
        <v>19</v>
      </c>
      <c r="B267" s="0" t="n">
        <v>0.5</v>
      </c>
      <c r="C267" s="0" t="s">
        <v>34</v>
      </c>
      <c r="D267" s="0" t="n">
        <v>42.71</v>
      </c>
    </row>
    <row r="268" customFormat="false" ht="15" hidden="false" customHeight="false" outlineLevel="0" collapsed="false">
      <c r="A268" s="0" t="s">
        <v>19</v>
      </c>
      <c r="B268" s="0" t="n">
        <v>0.5</v>
      </c>
      <c r="C268" s="0" t="s">
        <v>34</v>
      </c>
      <c r="D268" s="0" t="n">
        <v>47.73</v>
      </c>
    </row>
    <row r="269" customFormat="false" ht="15" hidden="false" customHeight="false" outlineLevel="0" collapsed="false">
      <c r="A269" s="0" t="s">
        <v>19</v>
      </c>
      <c r="B269" s="0" t="n">
        <v>0.5</v>
      </c>
      <c r="C269" s="0" t="s">
        <v>35</v>
      </c>
      <c r="D269" s="0" t="n">
        <v>40.5</v>
      </c>
    </row>
    <row r="270" customFormat="false" ht="15" hidden="false" customHeight="false" outlineLevel="0" collapsed="false">
      <c r="A270" s="0" t="s">
        <v>19</v>
      </c>
      <c r="B270" s="0" t="n">
        <v>0.5</v>
      </c>
      <c r="C270" s="0" t="s">
        <v>35</v>
      </c>
      <c r="D270" s="0" t="n">
        <v>31.99</v>
      </c>
    </row>
    <row r="271" customFormat="false" ht="15" hidden="false" customHeight="false" outlineLevel="0" collapsed="false">
      <c r="A271" s="0" t="s">
        <v>19</v>
      </c>
      <c r="B271" s="0" t="n">
        <v>0.5</v>
      </c>
      <c r="C271" s="0" t="s">
        <v>35</v>
      </c>
      <c r="D271" s="0" t="n">
        <v>33.71</v>
      </c>
    </row>
    <row r="272" customFormat="false" ht="15" hidden="false" customHeight="false" outlineLevel="0" collapsed="false">
      <c r="A272" s="0" t="s">
        <v>19</v>
      </c>
      <c r="B272" s="0" t="n">
        <v>0.5</v>
      </c>
      <c r="C272" s="0" t="s">
        <v>36</v>
      </c>
      <c r="D272" s="0" t="n">
        <v>43.76</v>
      </c>
    </row>
    <row r="273" customFormat="false" ht="15" hidden="false" customHeight="false" outlineLevel="0" collapsed="false">
      <c r="A273" s="0" t="s">
        <v>19</v>
      </c>
      <c r="B273" s="0" t="n">
        <v>0.5</v>
      </c>
      <c r="C273" s="0" t="s">
        <v>36</v>
      </c>
      <c r="D273" s="0" t="n">
        <v>31.07</v>
      </c>
    </row>
    <row r="274" customFormat="false" ht="15" hidden="false" customHeight="false" outlineLevel="0" collapsed="false">
      <c r="A274" s="0" t="s">
        <v>19</v>
      </c>
      <c r="B274" s="0" t="n">
        <v>0.5</v>
      </c>
      <c r="C274" s="0" t="s">
        <v>36</v>
      </c>
      <c r="D274" s="0" t="n">
        <v>43.29</v>
      </c>
    </row>
    <row r="275" customFormat="false" ht="15" hidden="false" customHeight="false" outlineLevel="0" collapsed="false">
      <c r="A275" s="0" t="s">
        <v>19</v>
      </c>
      <c r="B275" s="0" t="n">
        <v>0.5</v>
      </c>
      <c r="C275" s="0" t="s">
        <v>37</v>
      </c>
      <c r="D275" s="0" t="n">
        <v>36.22</v>
      </c>
    </row>
    <row r="276" customFormat="false" ht="15" hidden="false" customHeight="false" outlineLevel="0" collapsed="false">
      <c r="A276" s="0" t="s">
        <v>19</v>
      </c>
      <c r="B276" s="0" t="n">
        <v>0.5</v>
      </c>
      <c r="C276" s="0" t="s">
        <v>37</v>
      </c>
      <c r="D276" s="0" t="n">
        <v>45.11</v>
      </c>
    </row>
    <row r="277" customFormat="false" ht="15" hidden="false" customHeight="false" outlineLevel="0" collapsed="false">
      <c r="A277" s="0" t="s">
        <v>19</v>
      </c>
      <c r="B277" s="0" t="n">
        <v>0.5</v>
      </c>
      <c r="C277" s="0" t="s">
        <v>37</v>
      </c>
      <c r="D277" s="0" t="n">
        <v>37.91</v>
      </c>
    </row>
    <row r="278" customFormat="false" ht="15" hidden="false" customHeight="false" outlineLevel="0" collapsed="false">
      <c r="A278" s="0" t="s">
        <v>19</v>
      </c>
      <c r="B278" s="0" t="n">
        <v>0.5</v>
      </c>
      <c r="C278" s="0" t="s">
        <v>38</v>
      </c>
      <c r="D278" s="0" t="n">
        <v>99.15</v>
      </c>
    </row>
    <row r="279" customFormat="false" ht="15" hidden="false" customHeight="false" outlineLevel="0" collapsed="false">
      <c r="A279" s="0" t="s">
        <v>19</v>
      </c>
      <c r="B279" s="0" t="n">
        <v>0.5</v>
      </c>
      <c r="C279" s="0" t="s">
        <v>38</v>
      </c>
      <c r="D279" s="0" t="n">
        <v>54.91</v>
      </c>
    </row>
    <row r="280" customFormat="false" ht="15" hidden="false" customHeight="false" outlineLevel="0" collapsed="false">
      <c r="A280" s="0" t="s">
        <v>19</v>
      </c>
      <c r="B280" s="0" t="n">
        <v>0.5</v>
      </c>
      <c r="C280" s="0" t="s">
        <v>38</v>
      </c>
      <c r="D280" s="0" t="n">
        <v>100.58</v>
      </c>
    </row>
    <row r="281" customFormat="false" ht="15" hidden="false" customHeight="false" outlineLevel="0" collapsed="false">
      <c r="A281" s="0" t="s">
        <v>19</v>
      </c>
      <c r="B281" s="0" t="n">
        <v>0.5</v>
      </c>
      <c r="C281" s="0" t="s">
        <v>39</v>
      </c>
      <c r="D281" s="0" t="n">
        <v>74.75</v>
      </c>
    </row>
    <row r="282" customFormat="false" ht="15" hidden="false" customHeight="false" outlineLevel="0" collapsed="false">
      <c r="A282" s="0" t="s">
        <v>19</v>
      </c>
      <c r="B282" s="0" t="n">
        <v>0.5</v>
      </c>
      <c r="C282" s="0" t="s">
        <v>39</v>
      </c>
      <c r="D282" s="0" t="n">
        <v>60.44</v>
      </c>
    </row>
    <row r="283" customFormat="false" ht="15" hidden="false" customHeight="false" outlineLevel="0" collapsed="false">
      <c r="A283" s="0" t="s">
        <v>19</v>
      </c>
      <c r="B283" s="0" t="n">
        <v>0.5</v>
      </c>
      <c r="C283" s="0" t="s">
        <v>39</v>
      </c>
      <c r="D283" s="0" t="n">
        <v>71.22</v>
      </c>
    </row>
    <row r="284" customFormat="false" ht="15" hidden="false" customHeight="false" outlineLevel="0" collapsed="false">
      <c r="A284" s="0" t="s">
        <v>19</v>
      </c>
      <c r="B284" s="0" t="n">
        <v>0.5</v>
      </c>
      <c r="C284" s="0" t="s">
        <v>40</v>
      </c>
      <c r="D284" s="0" t="n">
        <v>63.69</v>
      </c>
    </row>
    <row r="285" customFormat="false" ht="15" hidden="false" customHeight="false" outlineLevel="0" collapsed="false">
      <c r="A285" s="0" t="s">
        <v>19</v>
      </c>
      <c r="B285" s="0" t="n">
        <v>0.5</v>
      </c>
      <c r="C285" s="0" t="s">
        <v>40</v>
      </c>
      <c r="D285" s="0" t="n">
        <v>128.54</v>
      </c>
    </row>
    <row r="286" customFormat="false" ht="15" hidden="false" customHeight="false" outlineLevel="0" collapsed="false">
      <c r="A286" s="0" t="s">
        <v>19</v>
      </c>
      <c r="B286" s="0" t="n">
        <v>0.5</v>
      </c>
      <c r="C286" s="0" t="s">
        <v>41</v>
      </c>
      <c r="D286" s="0" t="n">
        <v>-26.61</v>
      </c>
    </row>
    <row r="287" customFormat="false" ht="15" hidden="false" customHeight="false" outlineLevel="0" collapsed="false">
      <c r="A287" s="0" t="s">
        <v>20</v>
      </c>
      <c r="B287" s="0" t="n">
        <v>0.3</v>
      </c>
      <c r="C287" s="0" t="s">
        <v>33</v>
      </c>
      <c r="D287" s="0" t="n">
        <v>35.4</v>
      </c>
    </row>
    <row r="288" customFormat="false" ht="15" hidden="false" customHeight="false" outlineLevel="0" collapsed="false">
      <c r="A288" s="0" t="s">
        <v>20</v>
      </c>
      <c r="B288" s="0" t="n">
        <v>0.3</v>
      </c>
      <c r="C288" s="0" t="s">
        <v>34</v>
      </c>
      <c r="D288" s="0" t="n">
        <v>39.4</v>
      </c>
    </row>
    <row r="289" customFormat="false" ht="15" hidden="false" customHeight="false" outlineLevel="0" collapsed="false">
      <c r="A289" s="0" t="s">
        <v>20</v>
      </c>
      <c r="B289" s="0" t="n">
        <v>0.3</v>
      </c>
      <c r="C289" s="0" t="s">
        <v>35</v>
      </c>
      <c r="D289" s="0" t="n">
        <v>32.24</v>
      </c>
    </row>
    <row r="290" customFormat="false" ht="15" hidden="false" customHeight="false" outlineLevel="0" collapsed="false">
      <c r="A290" s="0" t="s">
        <v>20</v>
      </c>
      <c r="B290" s="0" t="n">
        <v>0.3</v>
      </c>
      <c r="C290" s="0" t="s">
        <v>36</v>
      </c>
      <c r="D290" s="0" t="n">
        <v>34.79</v>
      </c>
    </row>
    <row r="291" customFormat="false" ht="15" hidden="false" customHeight="false" outlineLevel="0" collapsed="false">
      <c r="A291" s="0" t="s">
        <v>20</v>
      </c>
      <c r="B291" s="0" t="n">
        <v>0.3</v>
      </c>
      <c r="C291" s="0" t="s">
        <v>37</v>
      </c>
      <c r="D291" s="0" t="n">
        <v>40.76</v>
      </c>
    </row>
    <row r="292" customFormat="false" ht="15" hidden="false" customHeight="false" outlineLevel="0" collapsed="false">
      <c r="A292" s="0" t="s">
        <v>20</v>
      </c>
      <c r="B292" s="0" t="n">
        <v>0.3</v>
      </c>
      <c r="C292" s="0" t="s">
        <v>38</v>
      </c>
      <c r="D292" s="0" t="n">
        <v>60.11</v>
      </c>
    </row>
    <row r="293" customFormat="false" ht="15" hidden="false" customHeight="false" outlineLevel="0" collapsed="false">
      <c r="A293" s="0" t="s">
        <v>20</v>
      </c>
      <c r="B293" s="0" t="n">
        <v>0.3</v>
      </c>
      <c r="C293" s="0" t="s">
        <v>39</v>
      </c>
      <c r="D293" s="0" t="n">
        <v>44.77</v>
      </c>
    </row>
    <row r="294" customFormat="false" ht="15" hidden="false" customHeight="false" outlineLevel="0" collapsed="false">
      <c r="A294" s="0" t="s">
        <v>20</v>
      </c>
      <c r="B294" s="0" t="n">
        <v>0.3</v>
      </c>
      <c r="C294" s="0" t="s">
        <v>40</v>
      </c>
      <c r="D294" s="0" t="n">
        <v>63.17</v>
      </c>
    </row>
    <row r="295" customFormat="false" ht="15" hidden="false" customHeight="false" outlineLevel="0" collapsed="false">
      <c r="A295" s="0" t="s">
        <v>20</v>
      </c>
      <c r="B295" s="0" t="n">
        <v>0.3</v>
      </c>
      <c r="C295" s="0" t="s">
        <v>41</v>
      </c>
      <c r="D295" s="0" t="n">
        <v>57.9</v>
      </c>
    </row>
    <row r="296" customFormat="false" ht="15" hidden="false" customHeight="false" outlineLevel="0" collapsed="false">
      <c r="A296" s="0" t="s">
        <v>20</v>
      </c>
      <c r="B296" s="0" t="n">
        <v>0.4</v>
      </c>
      <c r="C296" s="0" t="s">
        <v>33</v>
      </c>
      <c r="D296" s="0" t="n">
        <v>36.69</v>
      </c>
    </row>
    <row r="297" customFormat="false" ht="15" hidden="false" customHeight="false" outlineLevel="0" collapsed="false">
      <c r="A297" s="0" t="s">
        <v>20</v>
      </c>
      <c r="B297" s="0" t="n">
        <v>0.4</v>
      </c>
      <c r="C297" s="0" t="s">
        <v>34</v>
      </c>
      <c r="D297" s="0" t="n">
        <v>43.96</v>
      </c>
    </row>
    <row r="298" customFormat="false" ht="15" hidden="false" customHeight="false" outlineLevel="0" collapsed="false">
      <c r="A298" s="0" t="s">
        <v>20</v>
      </c>
      <c r="B298" s="0" t="n">
        <v>0.4</v>
      </c>
      <c r="C298" s="0" t="s">
        <v>35</v>
      </c>
      <c r="D298" s="0" t="n">
        <v>38.65</v>
      </c>
    </row>
    <row r="299" customFormat="false" ht="15" hidden="false" customHeight="false" outlineLevel="0" collapsed="false">
      <c r="A299" s="0" t="s">
        <v>20</v>
      </c>
      <c r="B299" s="0" t="n">
        <v>0.4</v>
      </c>
      <c r="C299" s="0" t="s">
        <v>36</v>
      </c>
      <c r="D299" s="0" t="n">
        <v>31.19</v>
      </c>
    </row>
    <row r="300" customFormat="false" ht="15" hidden="false" customHeight="false" outlineLevel="0" collapsed="false">
      <c r="A300" s="0" t="s">
        <v>20</v>
      </c>
      <c r="B300" s="0" t="n">
        <v>0.4</v>
      </c>
      <c r="C300" s="0" t="s">
        <v>37</v>
      </c>
      <c r="D300" s="0" t="n">
        <v>28.79</v>
      </c>
    </row>
    <row r="301" customFormat="false" ht="15" hidden="false" customHeight="false" outlineLevel="0" collapsed="false">
      <c r="A301" s="0" t="s">
        <v>20</v>
      </c>
      <c r="B301" s="0" t="n">
        <v>0.4</v>
      </c>
      <c r="C301" s="0" t="s">
        <v>38</v>
      </c>
      <c r="D301" s="0" t="n">
        <v>47.46</v>
      </c>
    </row>
    <row r="302" customFormat="false" ht="15" hidden="false" customHeight="false" outlineLevel="0" collapsed="false">
      <c r="A302" s="0" t="s">
        <v>20</v>
      </c>
      <c r="B302" s="0" t="n">
        <v>0.4</v>
      </c>
      <c r="C302" s="0" t="s">
        <v>39</v>
      </c>
      <c r="D302" s="0" t="n">
        <v>52.45</v>
      </c>
    </row>
    <row r="303" customFormat="false" ht="15" hidden="false" customHeight="false" outlineLevel="0" collapsed="false">
      <c r="A303" s="0" t="s">
        <v>20</v>
      </c>
      <c r="B303" s="0" t="n">
        <v>0.4</v>
      </c>
      <c r="C303" s="0" t="s">
        <v>40</v>
      </c>
      <c r="D303" s="0" t="n">
        <v>72.88</v>
      </c>
    </row>
    <row r="304" customFormat="false" ht="15" hidden="false" customHeight="false" outlineLevel="0" collapsed="false">
      <c r="A304" s="0" t="s">
        <v>20</v>
      </c>
      <c r="B304" s="0" t="n">
        <v>0.4</v>
      </c>
      <c r="C304" s="0" t="s">
        <v>41</v>
      </c>
      <c r="D304" s="0" t="n">
        <v>66.14</v>
      </c>
    </row>
    <row r="305" customFormat="false" ht="15" hidden="false" customHeight="false" outlineLevel="0" collapsed="false">
      <c r="A305" s="0" t="s">
        <v>20</v>
      </c>
      <c r="B305" s="0" t="n">
        <v>0.5</v>
      </c>
      <c r="C305" s="0" t="s">
        <v>33</v>
      </c>
      <c r="D305" s="0" t="n">
        <v>40.77</v>
      </c>
    </row>
    <row r="306" customFormat="false" ht="15" hidden="false" customHeight="false" outlineLevel="0" collapsed="false">
      <c r="A306" s="0" t="s">
        <v>20</v>
      </c>
      <c r="B306" s="0" t="n">
        <v>0.5</v>
      </c>
      <c r="C306" s="0" t="s">
        <v>34</v>
      </c>
      <c r="D306" s="0" t="n">
        <v>41.89</v>
      </c>
    </row>
    <row r="307" customFormat="false" ht="15" hidden="false" customHeight="false" outlineLevel="0" collapsed="false">
      <c r="A307" s="0" t="s">
        <v>20</v>
      </c>
      <c r="B307" s="0" t="n">
        <v>0.5</v>
      </c>
      <c r="C307" s="0" t="s">
        <v>35</v>
      </c>
      <c r="D307" s="0" t="n">
        <v>41.32</v>
      </c>
    </row>
    <row r="308" customFormat="false" ht="15" hidden="false" customHeight="false" outlineLevel="0" collapsed="false">
      <c r="A308" s="0" t="s">
        <v>20</v>
      </c>
      <c r="B308" s="0" t="n">
        <v>0.5</v>
      </c>
      <c r="C308" s="0" t="s">
        <v>36</v>
      </c>
      <c r="D308" s="0" t="n">
        <v>35.01</v>
      </c>
    </row>
    <row r="309" customFormat="false" ht="15" hidden="false" customHeight="false" outlineLevel="0" collapsed="false">
      <c r="A309" s="0" t="s">
        <v>20</v>
      </c>
      <c r="B309" s="0" t="n">
        <v>0.5</v>
      </c>
      <c r="C309" s="0" t="s">
        <v>37</v>
      </c>
      <c r="D309" s="0" t="n">
        <v>42.02</v>
      </c>
    </row>
    <row r="310" customFormat="false" ht="15" hidden="false" customHeight="false" outlineLevel="0" collapsed="false">
      <c r="A310" s="0" t="s">
        <v>20</v>
      </c>
      <c r="B310" s="0" t="n">
        <v>0.5</v>
      </c>
      <c r="C310" s="0" t="s">
        <v>38</v>
      </c>
      <c r="D310" s="0" t="n">
        <v>48.7</v>
      </c>
    </row>
    <row r="311" customFormat="false" ht="15" hidden="false" customHeight="false" outlineLevel="0" collapsed="false">
      <c r="A311" s="0" t="s">
        <v>20</v>
      </c>
      <c r="B311" s="0" t="n">
        <v>0.5</v>
      </c>
      <c r="C311" s="0" t="s">
        <v>39</v>
      </c>
      <c r="D311" s="0" t="n">
        <v>52.39</v>
      </c>
    </row>
    <row r="312" customFormat="false" ht="15" hidden="false" customHeight="false" outlineLevel="0" collapsed="false">
      <c r="A312" s="0" t="s">
        <v>20</v>
      </c>
      <c r="B312" s="0" t="n">
        <v>0.5</v>
      </c>
      <c r="C312" s="0" t="s">
        <v>40</v>
      </c>
      <c r="D312" s="0" t="n">
        <v>33.75</v>
      </c>
    </row>
    <row r="313" customFormat="false" ht="15" hidden="false" customHeight="false" outlineLevel="0" collapsed="false">
      <c r="A313" s="0" t="s">
        <v>20</v>
      </c>
      <c r="B313" s="0" t="n">
        <v>0.5</v>
      </c>
      <c r="C313" s="0" t="s">
        <v>41</v>
      </c>
      <c r="D313" s="0" t="n">
        <v>70.86</v>
      </c>
    </row>
    <row r="314" customFormat="false" ht="15" hidden="false" customHeight="false" outlineLevel="0" collapsed="false">
      <c r="A314" s="0" t="s">
        <v>23</v>
      </c>
      <c r="B314" s="0" t="n">
        <v>0.3</v>
      </c>
      <c r="C314" s="0" t="s">
        <v>33</v>
      </c>
      <c r="D314" s="0" t="n">
        <v>36.86</v>
      </c>
    </row>
    <row r="315" customFormat="false" ht="15" hidden="false" customHeight="false" outlineLevel="0" collapsed="false">
      <c r="A315" s="0" t="s">
        <v>23</v>
      </c>
      <c r="B315" s="0" t="n">
        <v>0.3</v>
      </c>
      <c r="C315" s="0" t="s">
        <v>33</v>
      </c>
      <c r="D315" s="0" t="n">
        <v>45.21</v>
      </c>
    </row>
    <row r="316" customFormat="false" ht="15" hidden="false" customHeight="false" outlineLevel="0" collapsed="false">
      <c r="A316" s="0" t="s">
        <v>23</v>
      </c>
      <c r="B316" s="0" t="n">
        <v>0.3</v>
      </c>
      <c r="C316" s="0" t="s">
        <v>33</v>
      </c>
      <c r="D316" s="0" t="n">
        <v>42.29</v>
      </c>
    </row>
    <row r="317" customFormat="false" ht="15" hidden="false" customHeight="false" outlineLevel="0" collapsed="false">
      <c r="A317" s="0" t="s">
        <v>23</v>
      </c>
      <c r="B317" s="0" t="n">
        <v>0.3</v>
      </c>
      <c r="C317" s="0" t="s">
        <v>34</v>
      </c>
      <c r="D317" s="0" t="n">
        <v>55.15</v>
      </c>
    </row>
    <row r="318" customFormat="false" ht="15" hidden="false" customHeight="false" outlineLevel="0" collapsed="false">
      <c r="A318" s="0" t="s">
        <v>23</v>
      </c>
      <c r="B318" s="0" t="n">
        <v>0.3</v>
      </c>
      <c r="C318" s="0" t="s">
        <v>34</v>
      </c>
      <c r="D318" s="0" t="n">
        <v>66.6</v>
      </c>
    </row>
    <row r="319" customFormat="false" ht="15" hidden="false" customHeight="false" outlineLevel="0" collapsed="false">
      <c r="A319" s="0" t="s">
        <v>23</v>
      </c>
      <c r="B319" s="0" t="n">
        <v>0.3</v>
      </c>
      <c r="C319" s="0" t="s">
        <v>34</v>
      </c>
      <c r="D319" s="0" t="n">
        <v>59.68</v>
      </c>
    </row>
    <row r="320" customFormat="false" ht="15" hidden="false" customHeight="false" outlineLevel="0" collapsed="false">
      <c r="A320" s="0" t="s">
        <v>23</v>
      </c>
      <c r="B320" s="0" t="n">
        <v>0.3</v>
      </c>
      <c r="C320" s="0" t="s">
        <v>35</v>
      </c>
      <c r="D320" s="0" t="n">
        <v>55.78</v>
      </c>
    </row>
    <row r="321" customFormat="false" ht="15" hidden="false" customHeight="false" outlineLevel="0" collapsed="false">
      <c r="A321" s="0" t="s">
        <v>23</v>
      </c>
      <c r="B321" s="0" t="n">
        <v>0.3</v>
      </c>
      <c r="C321" s="0" t="s">
        <v>35</v>
      </c>
      <c r="D321" s="0" t="n">
        <v>51.89</v>
      </c>
    </row>
    <row r="322" customFormat="false" ht="15" hidden="false" customHeight="false" outlineLevel="0" collapsed="false">
      <c r="A322" s="0" t="s">
        <v>23</v>
      </c>
      <c r="B322" s="0" t="n">
        <v>0.3</v>
      </c>
      <c r="C322" s="0" t="s">
        <v>35</v>
      </c>
      <c r="D322" s="0" t="n">
        <v>51.4</v>
      </c>
    </row>
    <row r="323" customFormat="false" ht="15" hidden="false" customHeight="false" outlineLevel="0" collapsed="false">
      <c r="A323" s="0" t="s">
        <v>23</v>
      </c>
      <c r="B323" s="0" t="n">
        <v>0.3</v>
      </c>
      <c r="C323" s="0" t="s">
        <v>36</v>
      </c>
      <c r="D323" s="0" t="n">
        <v>48.5</v>
      </c>
    </row>
    <row r="324" customFormat="false" ht="15" hidden="false" customHeight="false" outlineLevel="0" collapsed="false">
      <c r="A324" s="0" t="s">
        <v>23</v>
      </c>
      <c r="B324" s="0" t="n">
        <v>0.3</v>
      </c>
      <c r="C324" s="0" t="s">
        <v>36</v>
      </c>
      <c r="D324" s="0" t="n">
        <v>51.52</v>
      </c>
    </row>
    <row r="325" customFormat="false" ht="15" hidden="false" customHeight="false" outlineLevel="0" collapsed="false">
      <c r="A325" s="0" t="s">
        <v>23</v>
      </c>
      <c r="B325" s="0" t="n">
        <v>0.3</v>
      </c>
      <c r="C325" s="0" t="s">
        <v>36</v>
      </c>
      <c r="D325" s="0" t="n">
        <v>59.3</v>
      </c>
    </row>
    <row r="326" customFormat="false" ht="15" hidden="false" customHeight="false" outlineLevel="0" collapsed="false">
      <c r="A326" s="0" t="s">
        <v>23</v>
      </c>
      <c r="B326" s="0" t="n">
        <v>0.3</v>
      </c>
      <c r="C326" s="0" t="s">
        <v>37</v>
      </c>
      <c r="D326" s="0" t="n">
        <v>43.43</v>
      </c>
    </row>
    <row r="327" customFormat="false" ht="15" hidden="false" customHeight="false" outlineLevel="0" collapsed="false">
      <c r="A327" s="0" t="s">
        <v>23</v>
      </c>
      <c r="B327" s="0" t="n">
        <v>0.3</v>
      </c>
      <c r="C327" s="0" t="s">
        <v>37</v>
      </c>
      <c r="D327" s="0" t="n">
        <v>21.84</v>
      </c>
    </row>
    <row r="328" customFormat="false" ht="15" hidden="false" customHeight="false" outlineLevel="0" collapsed="false">
      <c r="A328" s="0" t="s">
        <v>23</v>
      </c>
      <c r="B328" s="0" t="n">
        <v>0.3</v>
      </c>
      <c r="C328" s="0" t="s">
        <v>37</v>
      </c>
      <c r="D328" s="0" t="n">
        <v>18.95</v>
      </c>
    </row>
    <row r="329" customFormat="false" ht="15" hidden="false" customHeight="false" outlineLevel="0" collapsed="false">
      <c r="A329" s="0" t="s">
        <v>23</v>
      </c>
      <c r="B329" s="0" t="n">
        <v>0.3</v>
      </c>
      <c r="C329" s="0" t="s">
        <v>38</v>
      </c>
      <c r="D329" s="0" t="n">
        <v>25.26</v>
      </c>
    </row>
    <row r="330" customFormat="false" ht="15" hidden="false" customHeight="false" outlineLevel="0" collapsed="false">
      <c r="A330" s="0" t="s">
        <v>23</v>
      </c>
      <c r="B330" s="0" t="n">
        <v>0.3</v>
      </c>
      <c r="C330" s="0" t="s">
        <v>38</v>
      </c>
      <c r="D330" s="0" t="n">
        <v>22.35</v>
      </c>
    </row>
    <row r="331" customFormat="false" ht="15" hidden="false" customHeight="false" outlineLevel="0" collapsed="false">
      <c r="A331" s="0" t="s">
        <v>23</v>
      </c>
      <c r="B331" s="0" t="n">
        <v>0.3</v>
      </c>
      <c r="C331" s="0" t="s">
        <v>38</v>
      </c>
      <c r="D331" s="0" t="n">
        <v>33.24</v>
      </c>
    </row>
    <row r="332" customFormat="false" ht="15" hidden="false" customHeight="false" outlineLevel="0" collapsed="false">
      <c r="A332" s="0" t="s">
        <v>23</v>
      </c>
      <c r="B332" s="0" t="n">
        <v>0.3</v>
      </c>
      <c r="C332" s="0" t="s">
        <v>39</v>
      </c>
      <c r="D332" s="0" t="n">
        <v>39.12</v>
      </c>
    </row>
    <row r="333" customFormat="false" ht="15" hidden="false" customHeight="false" outlineLevel="0" collapsed="false">
      <c r="A333" s="0" t="s">
        <v>23</v>
      </c>
      <c r="B333" s="0" t="n">
        <v>0.3</v>
      </c>
      <c r="C333" s="0" t="s">
        <v>39</v>
      </c>
      <c r="D333" s="0" t="n">
        <v>45.01</v>
      </c>
    </row>
    <row r="334" customFormat="false" ht="15" hidden="false" customHeight="false" outlineLevel="0" collapsed="false">
      <c r="A334" s="0" t="s">
        <v>23</v>
      </c>
      <c r="B334" s="0" t="n">
        <v>0.3</v>
      </c>
      <c r="C334" s="0" t="s">
        <v>39</v>
      </c>
      <c r="D334" s="0" t="n">
        <v>44.03</v>
      </c>
    </row>
    <row r="335" customFormat="false" ht="15" hidden="false" customHeight="false" outlineLevel="0" collapsed="false">
      <c r="A335" s="0" t="s">
        <v>23</v>
      </c>
      <c r="B335" s="0" t="n">
        <v>0.3</v>
      </c>
      <c r="C335" s="0" t="s">
        <v>40</v>
      </c>
      <c r="D335" s="0" t="n">
        <v>37.95</v>
      </c>
    </row>
    <row r="336" customFormat="false" ht="15" hidden="false" customHeight="false" outlineLevel="0" collapsed="false">
      <c r="A336" s="0" t="s">
        <v>23</v>
      </c>
      <c r="B336" s="0" t="n">
        <v>0.3</v>
      </c>
      <c r="C336" s="0" t="s">
        <v>40</v>
      </c>
      <c r="D336" s="0" t="n">
        <v>41.5</v>
      </c>
    </row>
    <row r="337" customFormat="false" ht="15" hidden="false" customHeight="false" outlineLevel="0" collapsed="false">
      <c r="A337" s="0" t="s">
        <v>23</v>
      </c>
      <c r="B337" s="0" t="n">
        <v>0.3</v>
      </c>
      <c r="C337" s="0" t="s">
        <v>40</v>
      </c>
      <c r="D337" s="0" t="n">
        <v>88.04</v>
      </c>
    </row>
    <row r="338" customFormat="false" ht="15" hidden="false" customHeight="false" outlineLevel="0" collapsed="false">
      <c r="A338" s="0" t="s">
        <v>23</v>
      </c>
      <c r="B338" s="0" t="n">
        <v>0.3</v>
      </c>
      <c r="C338" s="0" t="s">
        <v>41</v>
      </c>
      <c r="D338" s="0" t="n">
        <v>89.15</v>
      </c>
    </row>
    <row r="339" customFormat="false" ht="15" hidden="false" customHeight="false" outlineLevel="0" collapsed="false">
      <c r="A339" s="0" t="s">
        <v>23</v>
      </c>
      <c r="B339" s="0" t="n">
        <v>0.3</v>
      </c>
      <c r="C339" s="0" t="s">
        <v>41</v>
      </c>
      <c r="D339" s="0" t="n">
        <v>94.55</v>
      </c>
    </row>
    <row r="340" customFormat="false" ht="15" hidden="false" customHeight="false" outlineLevel="0" collapsed="false">
      <c r="A340" s="0" t="s">
        <v>23</v>
      </c>
      <c r="B340" s="0" t="n">
        <v>0.3</v>
      </c>
      <c r="C340" s="0" t="s">
        <v>41</v>
      </c>
      <c r="D340" s="0" t="n">
        <v>85.43</v>
      </c>
    </row>
    <row r="341" customFormat="false" ht="15" hidden="false" customHeight="false" outlineLevel="0" collapsed="false">
      <c r="A341" s="0" t="s">
        <v>23</v>
      </c>
      <c r="B341" s="0" t="n">
        <v>0.4</v>
      </c>
      <c r="C341" s="0" t="s">
        <v>33</v>
      </c>
      <c r="D341" s="0" t="n">
        <v>36.43</v>
      </c>
    </row>
    <row r="342" customFormat="false" ht="15" hidden="false" customHeight="false" outlineLevel="0" collapsed="false">
      <c r="A342" s="0" t="s">
        <v>23</v>
      </c>
      <c r="B342" s="0" t="n">
        <v>0.4</v>
      </c>
      <c r="C342" s="0" t="s">
        <v>33</v>
      </c>
      <c r="D342" s="0" t="n">
        <v>45.68</v>
      </c>
    </row>
    <row r="343" customFormat="false" ht="15" hidden="false" customHeight="false" outlineLevel="0" collapsed="false">
      <c r="A343" s="0" t="s">
        <v>23</v>
      </c>
      <c r="B343" s="0" t="n">
        <v>0.4</v>
      </c>
      <c r="C343" s="0" t="s">
        <v>33</v>
      </c>
      <c r="D343" s="0" t="n">
        <v>41.12</v>
      </c>
    </row>
    <row r="344" customFormat="false" ht="15" hidden="false" customHeight="false" outlineLevel="0" collapsed="false">
      <c r="A344" s="0" t="s">
        <v>23</v>
      </c>
      <c r="B344" s="0" t="n">
        <v>0.4</v>
      </c>
      <c r="C344" s="0" t="s">
        <v>34</v>
      </c>
      <c r="D344" s="0" t="n">
        <v>51</v>
      </c>
    </row>
    <row r="345" customFormat="false" ht="15" hidden="false" customHeight="false" outlineLevel="0" collapsed="false">
      <c r="A345" s="0" t="s">
        <v>23</v>
      </c>
      <c r="B345" s="0" t="n">
        <v>0.4</v>
      </c>
      <c r="C345" s="0" t="s">
        <v>34</v>
      </c>
      <c r="D345" s="0" t="n">
        <v>42.72</v>
      </c>
    </row>
    <row r="346" customFormat="false" ht="15" hidden="false" customHeight="false" outlineLevel="0" collapsed="false">
      <c r="A346" s="0" t="s">
        <v>23</v>
      </c>
      <c r="B346" s="0" t="n">
        <v>0.4</v>
      </c>
      <c r="C346" s="0" t="s">
        <v>34</v>
      </c>
      <c r="D346" s="0" t="n">
        <v>41.37</v>
      </c>
    </row>
    <row r="347" customFormat="false" ht="15" hidden="false" customHeight="false" outlineLevel="0" collapsed="false">
      <c r="A347" s="0" t="s">
        <v>23</v>
      </c>
      <c r="B347" s="0" t="n">
        <v>0.4</v>
      </c>
      <c r="C347" s="0" t="s">
        <v>35</v>
      </c>
      <c r="D347" s="0" t="n">
        <v>38.24</v>
      </c>
    </row>
    <row r="348" customFormat="false" ht="15" hidden="false" customHeight="false" outlineLevel="0" collapsed="false">
      <c r="A348" s="0" t="s">
        <v>23</v>
      </c>
      <c r="B348" s="0" t="n">
        <v>0.4</v>
      </c>
      <c r="C348" s="0" t="s">
        <v>35</v>
      </c>
      <c r="D348" s="0" t="n">
        <v>32.8</v>
      </c>
    </row>
    <row r="349" customFormat="false" ht="15" hidden="false" customHeight="false" outlineLevel="0" collapsed="false">
      <c r="A349" s="0" t="s">
        <v>23</v>
      </c>
      <c r="B349" s="0" t="n">
        <v>0.4</v>
      </c>
      <c r="C349" s="0" t="s">
        <v>35</v>
      </c>
      <c r="D349" s="0" t="n">
        <v>22.46</v>
      </c>
    </row>
    <row r="350" customFormat="false" ht="15" hidden="false" customHeight="false" outlineLevel="0" collapsed="false">
      <c r="A350" s="0" t="s">
        <v>23</v>
      </c>
      <c r="B350" s="0" t="n">
        <v>0.4</v>
      </c>
      <c r="C350" s="0" t="s">
        <v>36</v>
      </c>
      <c r="D350" s="0" t="n">
        <v>23.01</v>
      </c>
    </row>
    <row r="351" customFormat="false" ht="15" hidden="false" customHeight="false" outlineLevel="0" collapsed="false">
      <c r="A351" s="0" t="s">
        <v>23</v>
      </c>
      <c r="B351" s="0" t="n">
        <v>0.4</v>
      </c>
      <c r="C351" s="0" t="s">
        <v>36</v>
      </c>
      <c r="D351" s="0" t="n">
        <v>35.57</v>
      </c>
    </row>
    <row r="352" customFormat="false" ht="15" hidden="false" customHeight="false" outlineLevel="0" collapsed="false">
      <c r="A352" s="0" t="s">
        <v>23</v>
      </c>
      <c r="B352" s="0" t="n">
        <v>0.4</v>
      </c>
      <c r="C352" s="0" t="s">
        <v>36</v>
      </c>
      <c r="D352" s="0" t="n">
        <v>27.47</v>
      </c>
    </row>
    <row r="353" customFormat="false" ht="15" hidden="false" customHeight="false" outlineLevel="0" collapsed="false">
      <c r="A353" s="0" t="s">
        <v>23</v>
      </c>
      <c r="B353" s="0" t="n">
        <v>0.4</v>
      </c>
      <c r="C353" s="0" t="s">
        <v>37</v>
      </c>
      <c r="D353" s="0" t="n">
        <v>18.76</v>
      </c>
    </row>
    <row r="354" customFormat="false" ht="15" hidden="false" customHeight="false" outlineLevel="0" collapsed="false">
      <c r="A354" s="0" t="s">
        <v>23</v>
      </c>
      <c r="B354" s="0" t="n">
        <v>0.4</v>
      </c>
      <c r="C354" s="0" t="s">
        <v>37</v>
      </c>
      <c r="D354" s="0" t="n">
        <v>38.35</v>
      </c>
    </row>
    <row r="355" customFormat="false" ht="15" hidden="false" customHeight="false" outlineLevel="0" collapsed="false">
      <c r="A355" s="0" t="s">
        <v>23</v>
      </c>
      <c r="B355" s="0" t="n">
        <v>0.4</v>
      </c>
      <c r="C355" s="0" t="s">
        <v>37</v>
      </c>
      <c r="D355" s="0" t="n">
        <v>22.69</v>
      </c>
    </row>
    <row r="356" customFormat="false" ht="15" hidden="false" customHeight="false" outlineLevel="0" collapsed="false">
      <c r="A356" s="0" t="s">
        <v>23</v>
      </c>
      <c r="B356" s="0" t="n">
        <v>0.4</v>
      </c>
      <c r="C356" s="0" t="s">
        <v>38</v>
      </c>
      <c r="D356" s="0" t="n">
        <v>43.11</v>
      </c>
    </row>
    <row r="357" customFormat="false" ht="15" hidden="false" customHeight="false" outlineLevel="0" collapsed="false">
      <c r="A357" s="0" t="s">
        <v>23</v>
      </c>
      <c r="B357" s="0" t="n">
        <v>0.4</v>
      </c>
      <c r="C357" s="0" t="s">
        <v>38</v>
      </c>
      <c r="D357" s="0" t="n">
        <v>42.74</v>
      </c>
    </row>
    <row r="358" customFormat="false" ht="15" hidden="false" customHeight="false" outlineLevel="0" collapsed="false">
      <c r="A358" s="0" t="s">
        <v>23</v>
      </c>
      <c r="B358" s="0" t="n">
        <v>0.4</v>
      </c>
      <c r="C358" s="0" t="s">
        <v>38</v>
      </c>
      <c r="D358" s="0" t="n">
        <v>39.24</v>
      </c>
    </row>
    <row r="359" customFormat="false" ht="15" hidden="false" customHeight="false" outlineLevel="0" collapsed="false">
      <c r="A359" s="0" t="s">
        <v>23</v>
      </c>
      <c r="B359" s="0" t="n">
        <v>0.4</v>
      </c>
      <c r="C359" s="0" t="s">
        <v>39</v>
      </c>
      <c r="D359" s="0" t="n">
        <v>15.04</v>
      </c>
    </row>
    <row r="360" customFormat="false" ht="15" hidden="false" customHeight="false" outlineLevel="0" collapsed="false">
      <c r="A360" s="0" t="s">
        <v>23</v>
      </c>
      <c r="B360" s="0" t="n">
        <v>0.4</v>
      </c>
      <c r="C360" s="0" t="s">
        <v>39</v>
      </c>
      <c r="D360" s="0" t="n">
        <v>20.45</v>
      </c>
    </row>
    <row r="361" customFormat="false" ht="15" hidden="false" customHeight="false" outlineLevel="0" collapsed="false">
      <c r="A361" s="0" t="s">
        <v>23</v>
      </c>
      <c r="B361" s="0" t="n">
        <v>0.4</v>
      </c>
      <c r="C361" s="0" t="s">
        <v>39</v>
      </c>
      <c r="D361" s="0" t="n">
        <v>31.98</v>
      </c>
    </row>
    <row r="362" customFormat="false" ht="15" hidden="false" customHeight="false" outlineLevel="0" collapsed="false">
      <c r="A362" s="0" t="s">
        <v>23</v>
      </c>
      <c r="B362" s="0" t="n">
        <v>0.4</v>
      </c>
      <c r="C362" s="0" t="s">
        <v>40</v>
      </c>
      <c r="D362" s="0" t="n">
        <v>41.26</v>
      </c>
    </row>
    <row r="363" customFormat="false" ht="15" hidden="false" customHeight="false" outlineLevel="0" collapsed="false">
      <c r="A363" s="0" t="s">
        <v>23</v>
      </c>
      <c r="B363" s="0" t="n">
        <v>0.4</v>
      </c>
      <c r="C363" s="0" t="s">
        <v>40</v>
      </c>
      <c r="D363" s="0" t="n">
        <v>65.66</v>
      </c>
    </row>
    <row r="364" customFormat="false" ht="15" hidden="false" customHeight="false" outlineLevel="0" collapsed="false">
      <c r="A364" s="0" t="s">
        <v>23</v>
      </c>
      <c r="B364" s="0" t="n">
        <v>0.4</v>
      </c>
      <c r="C364" s="0" t="s">
        <v>40</v>
      </c>
      <c r="D364" s="0" t="n">
        <v>79.07</v>
      </c>
    </row>
    <row r="365" customFormat="false" ht="15" hidden="false" customHeight="false" outlineLevel="0" collapsed="false">
      <c r="A365" s="0" t="s">
        <v>23</v>
      </c>
      <c r="B365" s="0" t="n">
        <v>0.4</v>
      </c>
      <c r="C365" s="0" t="s">
        <v>41</v>
      </c>
      <c r="D365" s="0" t="n">
        <v>42.51</v>
      </c>
    </row>
    <row r="366" customFormat="false" ht="15" hidden="false" customHeight="false" outlineLevel="0" collapsed="false">
      <c r="A366" s="0" t="s">
        <v>23</v>
      </c>
      <c r="B366" s="0" t="n">
        <v>0.4</v>
      </c>
      <c r="C366" s="0" t="s">
        <v>41</v>
      </c>
      <c r="D366" s="0" t="n">
        <v>88.05</v>
      </c>
    </row>
    <row r="367" customFormat="false" ht="15" hidden="false" customHeight="false" outlineLevel="0" collapsed="false">
      <c r="A367" s="0" t="s">
        <v>23</v>
      </c>
      <c r="B367" s="0" t="n">
        <v>0.4</v>
      </c>
      <c r="C367" s="0" t="s">
        <v>41</v>
      </c>
      <c r="D367" s="0" t="n">
        <v>80.23</v>
      </c>
    </row>
    <row r="368" customFormat="false" ht="15" hidden="false" customHeight="false" outlineLevel="0" collapsed="false">
      <c r="A368" s="0" t="s">
        <v>23</v>
      </c>
      <c r="B368" s="0" t="n">
        <v>0.5</v>
      </c>
      <c r="C368" s="0" t="s">
        <v>33</v>
      </c>
      <c r="D368" s="0" t="n">
        <v>53.26</v>
      </c>
    </row>
    <row r="369" customFormat="false" ht="15" hidden="false" customHeight="false" outlineLevel="0" collapsed="false">
      <c r="A369" s="0" t="s">
        <v>23</v>
      </c>
      <c r="B369" s="0" t="n">
        <v>0.5</v>
      </c>
      <c r="C369" s="0" t="s">
        <v>34</v>
      </c>
      <c r="D369" s="0" t="n">
        <v>43.77</v>
      </c>
    </row>
    <row r="370" customFormat="false" ht="15" hidden="false" customHeight="false" outlineLevel="0" collapsed="false">
      <c r="A370" s="0" t="s">
        <v>23</v>
      </c>
      <c r="B370" s="0" t="n">
        <v>0.5</v>
      </c>
      <c r="C370" s="0" t="s">
        <v>35</v>
      </c>
      <c r="D370" s="0" t="n">
        <v>39.01</v>
      </c>
    </row>
    <row r="371" customFormat="false" ht="15" hidden="false" customHeight="false" outlineLevel="0" collapsed="false">
      <c r="A371" s="0" t="s">
        <v>23</v>
      </c>
      <c r="B371" s="0" t="n">
        <v>0.5</v>
      </c>
      <c r="C371" s="0" t="s">
        <v>36</v>
      </c>
      <c r="D371" s="0" t="n">
        <v>30.84</v>
      </c>
    </row>
    <row r="372" customFormat="false" ht="15" hidden="false" customHeight="false" outlineLevel="0" collapsed="false">
      <c r="A372" s="0" t="s">
        <v>23</v>
      </c>
      <c r="B372" s="0" t="n">
        <v>0.5</v>
      </c>
      <c r="C372" s="0" t="s">
        <v>37</v>
      </c>
      <c r="D372" s="0" t="n">
        <v>22.49</v>
      </c>
    </row>
    <row r="373" customFormat="false" ht="15" hidden="false" customHeight="false" outlineLevel="0" collapsed="false">
      <c r="A373" s="0" t="s">
        <v>23</v>
      </c>
      <c r="B373" s="0" t="n">
        <v>0.5</v>
      </c>
      <c r="C373" s="0" t="s">
        <v>38</v>
      </c>
      <c r="D373" s="0" t="n">
        <v>30.9</v>
      </c>
    </row>
    <row r="374" customFormat="false" ht="15" hidden="false" customHeight="false" outlineLevel="0" collapsed="false">
      <c r="A374" s="0" t="s">
        <v>23</v>
      </c>
      <c r="B374" s="0" t="n">
        <v>0.5</v>
      </c>
      <c r="C374" s="0" t="s">
        <v>39</v>
      </c>
      <c r="D374" s="0" t="n">
        <v>19.68</v>
      </c>
    </row>
    <row r="375" customFormat="false" ht="15" hidden="false" customHeight="false" outlineLevel="0" collapsed="false">
      <c r="A375" s="0" t="s">
        <v>23</v>
      </c>
      <c r="B375" s="0" t="n">
        <v>0.5</v>
      </c>
      <c r="C375" s="0" t="s">
        <v>40</v>
      </c>
      <c r="D375" s="0" t="n">
        <v>43.36</v>
      </c>
    </row>
    <row r="376" customFormat="false" ht="15" hidden="false" customHeight="false" outlineLevel="0" collapsed="false">
      <c r="A376" s="0" t="s">
        <v>23</v>
      </c>
      <c r="B376" s="0" t="n">
        <v>0.5</v>
      </c>
      <c r="C376" s="0" t="s">
        <v>41</v>
      </c>
      <c r="D376" s="0" t="n">
        <v>40.03</v>
      </c>
    </row>
    <row r="377" customFormat="false" ht="15" hidden="false" customHeight="false" outlineLevel="0" collapsed="false">
      <c r="A377" s="0" t="s">
        <v>24</v>
      </c>
      <c r="B377" s="0" t="n">
        <v>0.3</v>
      </c>
      <c r="C377" s="0" t="s">
        <v>33</v>
      </c>
      <c r="D377" s="0" t="n">
        <v>24.72</v>
      </c>
    </row>
    <row r="378" customFormat="false" ht="15" hidden="false" customHeight="false" outlineLevel="0" collapsed="false">
      <c r="A378" s="0" t="s">
        <v>24</v>
      </c>
      <c r="B378" s="0" t="n">
        <v>0.3</v>
      </c>
      <c r="C378" s="0" t="s">
        <v>33</v>
      </c>
      <c r="D378" s="0" t="n">
        <v>38.9</v>
      </c>
    </row>
    <row r="379" customFormat="false" ht="15" hidden="false" customHeight="false" outlineLevel="0" collapsed="false">
      <c r="A379" s="0" t="s">
        <v>24</v>
      </c>
      <c r="B379" s="0" t="n">
        <v>0.3</v>
      </c>
      <c r="C379" s="0" t="s">
        <v>33</v>
      </c>
      <c r="D379" s="0" t="n">
        <v>38.9</v>
      </c>
    </row>
    <row r="380" customFormat="false" ht="15" hidden="false" customHeight="false" outlineLevel="0" collapsed="false">
      <c r="A380" s="0" t="s">
        <v>24</v>
      </c>
      <c r="B380" s="0" t="n">
        <v>0.3</v>
      </c>
      <c r="C380" s="0" t="s">
        <v>34</v>
      </c>
      <c r="D380" s="0" t="n">
        <v>32.1</v>
      </c>
    </row>
    <row r="381" customFormat="false" ht="15" hidden="false" customHeight="false" outlineLevel="0" collapsed="false">
      <c r="A381" s="0" t="s">
        <v>24</v>
      </c>
      <c r="B381" s="0" t="n">
        <v>0.3</v>
      </c>
      <c r="C381" s="0" t="s">
        <v>34</v>
      </c>
      <c r="D381" s="0" t="n">
        <v>45.78</v>
      </c>
    </row>
    <row r="382" customFormat="false" ht="15" hidden="false" customHeight="false" outlineLevel="0" collapsed="false">
      <c r="A382" s="0" t="s">
        <v>24</v>
      </c>
      <c r="B382" s="0" t="n">
        <v>0.3</v>
      </c>
      <c r="C382" s="0" t="s">
        <v>34</v>
      </c>
      <c r="D382" s="0" t="n">
        <v>44.07</v>
      </c>
    </row>
    <row r="383" customFormat="false" ht="15" hidden="false" customHeight="false" outlineLevel="0" collapsed="false">
      <c r="A383" s="0" t="s">
        <v>24</v>
      </c>
      <c r="B383" s="0" t="n">
        <v>0.3</v>
      </c>
      <c r="C383" s="0" t="s">
        <v>35</v>
      </c>
      <c r="D383" s="0" t="n">
        <v>33.11</v>
      </c>
    </row>
    <row r="384" customFormat="false" ht="15" hidden="false" customHeight="false" outlineLevel="0" collapsed="false">
      <c r="A384" s="0" t="s">
        <v>24</v>
      </c>
      <c r="B384" s="0" t="n">
        <v>0.3</v>
      </c>
      <c r="C384" s="0" t="s">
        <v>35</v>
      </c>
      <c r="D384" s="0" t="n">
        <v>39.3</v>
      </c>
    </row>
    <row r="385" customFormat="false" ht="15" hidden="false" customHeight="false" outlineLevel="0" collapsed="false">
      <c r="A385" s="0" t="s">
        <v>24</v>
      </c>
      <c r="B385" s="0" t="n">
        <v>0.3</v>
      </c>
      <c r="C385" s="0" t="s">
        <v>35</v>
      </c>
      <c r="D385" s="0" t="n">
        <v>43.56</v>
      </c>
    </row>
    <row r="386" customFormat="false" ht="15" hidden="false" customHeight="false" outlineLevel="0" collapsed="false">
      <c r="A386" s="0" t="s">
        <v>24</v>
      </c>
      <c r="B386" s="0" t="n">
        <v>0.3</v>
      </c>
      <c r="C386" s="0" t="s">
        <v>36</v>
      </c>
      <c r="D386" s="0" t="n">
        <v>32.61</v>
      </c>
    </row>
    <row r="387" customFormat="false" ht="15" hidden="false" customHeight="false" outlineLevel="0" collapsed="false">
      <c r="A387" s="0" t="s">
        <v>24</v>
      </c>
      <c r="B387" s="0" t="n">
        <v>0.3</v>
      </c>
      <c r="C387" s="0" t="s">
        <v>36</v>
      </c>
      <c r="D387" s="0" t="n">
        <v>37.41</v>
      </c>
    </row>
    <row r="388" customFormat="false" ht="15" hidden="false" customHeight="false" outlineLevel="0" collapsed="false">
      <c r="A388" s="0" t="s">
        <v>24</v>
      </c>
      <c r="B388" s="0" t="n">
        <v>0.3</v>
      </c>
      <c r="C388" s="0" t="s">
        <v>36</v>
      </c>
      <c r="D388" s="0" t="n">
        <v>37.41</v>
      </c>
    </row>
    <row r="389" customFormat="false" ht="15" hidden="false" customHeight="false" outlineLevel="0" collapsed="false">
      <c r="A389" s="0" t="s">
        <v>24</v>
      </c>
      <c r="B389" s="0" t="n">
        <v>0.3</v>
      </c>
      <c r="C389" s="0" t="s">
        <v>37</v>
      </c>
      <c r="D389" s="0" t="n">
        <v>29.35</v>
      </c>
    </row>
    <row r="390" customFormat="false" ht="15" hidden="false" customHeight="false" outlineLevel="0" collapsed="false">
      <c r="A390" s="0" t="s">
        <v>24</v>
      </c>
      <c r="B390" s="0" t="n">
        <v>0.3</v>
      </c>
      <c r="C390" s="0" t="s">
        <v>37</v>
      </c>
      <c r="D390" s="0" t="n">
        <v>43.78</v>
      </c>
    </row>
    <row r="391" customFormat="false" ht="15" hidden="false" customHeight="false" outlineLevel="0" collapsed="false">
      <c r="A391" s="0" t="s">
        <v>24</v>
      </c>
      <c r="B391" s="0" t="n">
        <v>0.3</v>
      </c>
      <c r="C391" s="0" t="s">
        <v>37</v>
      </c>
      <c r="D391" s="0" t="n">
        <v>39.26</v>
      </c>
    </row>
    <row r="392" customFormat="false" ht="15" hidden="false" customHeight="false" outlineLevel="0" collapsed="false">
      <c r="A392" s="0" t="s">
        <v>24</v>
      </c>
      <c r="B392" s="0" t="n">
        <v>0.3</v>
      </c>
      <c r="C392" s="0" t="s">
        <v>38</v>
      </c>
      <c r="D392" s="0" t="n">
        <v>42.51</v>
      </c>
    </row>
    <row r="393" customFormat="false" ht="15" hidden="false" customHeight="false" outlineLevel="0" collapsed="false">
      <c r="A393" s="0" t="s">
        <v>24</v>
      </c>
      <c r="B393" s="0" t="n">
        <v>0.3</v>
      </c>
      <c r="C393" s="0" t="s">
        <v>38</v>
      </c>
      <c r="D393" s="0" t="n">
        <v>38.23</v>
      </c>
    </row>
    <row r="394" customFormat="false" ht="15" hidden="false" customHeight="false" outlineLevel="0" collapsed="false">
      <c r="A394" s="0" t="s">
        <v>24</v>
      </c>
      <c r="B394" s="0" t="n">
        <v>0.3</v>
      </c>
      <c r="C394" s="0" t="s">
        <v>38</v>
      </c>
      <c r="D394" s="0" t="n">
        <v>45.19</v>
      </c>
    </row>
    <row r="395" customFormat="false" ht="15" hidden="false" customHeight="false" outlineLevel="0" collapsed="false">
      <c r="A395" s="0" t="s">
        <v>24</v>
      </c>
      <c r="B395" s="0" t="n">
        <v>0.3</v>
      </c>
      <c r="C395" s="0" t="s">
        <v>39</v>
      </c>
      <c r="D395" s="0" t="n">
        <v>39.89</v>
      </c>
    </row>
    <row r="396" customFormat="false" ht="15" hidden="false" customHeight="false" outlineLevel="0" collapsed="false">
      <c r="A396" s="0" t="s">
        <v>24</v>
      </c>
      <c r="B396" s="0" t="n">
        <v>0.3</v>
      </c>
      <c r="C396" s="0" t="s">
        <v>39</v>
      </c>
      <c r="D396" s="0" t="n">
        <v>42.93</v>
      </c>
    </row>
    <row r="397" customFormat="false" ht="15" hidden="false" customHeight="false" outlineLevel="0" collapsed="false">
      <c r="A397" s="0" t="s">
        <v>24</v>
      </c>
      <c r="B397" s="0" t="n">
        <v>0.3</v>
      </c>
      <c r="C397" s="0" t="s">
        <v>39</v>
      </c>
      <c r="D397" s="0" t="n">
        <v>42.93</v>
      </c>
    </row>
    <row r="398" customFormat="false" ht="15" hidden="false" customHeight="false" outlineLevel="0" collapsed="false">
      <c r="A398" s="0" t="s">
        <v>24</v>
      </c>
      <c r="B398" s="0" t="n">
        <v>0.3</v>
      </c>
      <c r="C398" s="0" t="s">
        <v>40</v>
      </c>
      <c r="D398" s="0" t="n">
        <v>67.71</v>
      </c>
    </row>
    <row r="399" customFormat="false" ht="15" hidden="false" customHeight="false" outlineLevel="0" collapsed="false">
      <c r="A399" s="0" t="s">
        <v>24</v>
      </c>
      <c r="B399" s="0" t="n">
        <v>0.3</v>
      </c>
      <c r="C399" s="0" t="s">
        <v>40</v>
      </c>
      <c r="D399" s="0" t="n">
        <v>67.71</v>
      </c>
    </row>
    <row r="400" customFormat="false" ht="15" hidden="false" customHeight="false" outlineLevel="0" collapsed="false">
      <c r="A400" s="0" t="s">
        <v>24</v>
      </c>
      <c r="B400" s="0" t="n">
        <v>0.3</v>
      </c>
      <c r="C400" s="0" t="s">
        <v>41</v>
      </c>
      <c r="D400" s="0" t="n">
        <v>65.01</v>
      </c>
    </row>
    <row r="401" customFormat="false" ht="15" hidden="false" customHeight="false" outlineLevel="0" collapsed="false">
      <c r="A401" s="0" t="s">
        <v>24</v>
      </c>
      <c r="B401" s="0" t="n">
        <v>0.3</v>
      </c>
      <c r="C401" s="0" t="s">
        <v>41</v>
      </c>
      <c r="D401" s="0" t="n">
        <v>39.68</v>
      </c>
    </row>
    <row r="402" customFormat="false" ht="15" hidden="false" customHeight="false" outlineLevel="0" collapsed="false">
      <c r="A402" s="0" t="s">
        <v>24</v>
      </c>
      <c r="B402" s="0" t="n">
        <v>0.4</v>
      </c>
      <c r="C402" s="0" t="s">
        <v>33</v>
      </c>
      <c r="D402" s="0" t="n">
        <v>24.06</v>
      </c>
    </row>
    <row r="403" customFormat="false" ht="15" hidden="false" customHeight="false" outlineLevel="0" collapsed="false">
      <c r="A403" s="0" t="s">
        <v>24</v>
      </c>
      <c r="B403" s="0" t="n">
        <v>0.4</v>
      </c>
      <c r="C403" s="0" t="s">
        <v>33</v>
      </c>
      <c r="D403" s="0" t="n">
        <v>40.67</v>
      </c>
    </row>
    <row r="404" customFormat="false" ht="15" hidden="false" customHeight="false" outlineLevel="0" collapsed="false">
      <c r="A404" s="0" t="s">
        <v>24</v>
      </c>
      <c r="B404" s="0" t="n">
        <v>0.4</v>
      </c>
      <c r="C404" s="0" t="s">
        <v>33</v>
      </c>
      <c r="D404" s="0" t="n">
        <v>38.9</v>
      </c>
    </row>
    <row r="405" customFormat="false" ht="15" hidden="false" customHeight="false" outlineLevel="0" collapsed="false">
      <c r="A405" s="0" t="s">
        <v>24</v>
      </c>
      <c r="B405" s="0" t="n">
        <v>0.4</v>
      </c>
      <c r="C405" s="0" t="s">
        <v>34</v>
      </c>
      <c r="D405" s="0" t="n">
        <v>32.1</v>
      </c>
    </row>
    <row r="406" customFormat="false" ht="15" hidden="false" customHeight="false" outlineLevel="0" collapsed="false">
      <c r="A406" s="0" t="s">
        <v>24</v>
      </c>
      <c r="B406" s="0" t="n">
        <v>0.4</v>
      </c>
      <c r="C406" s="0" t="s">
        <v>34</v>
      </c>
      <c r="D406" s="0" t="n">
        <v>44.84</v>
      </c>
    </row>
    <row r="407" customFormat="false" ht="15" hidden="false" customHeight="false" outlineLevel="0" collapsed="false">
      <c r="A407" s="0" t="s">
        <v>24</v>
      </c>
      <c r="B407" s="0" t="n">
        <v>0.4</v>
      </c>
      <c r="C407" s="0" t="s">
        <v>34</v>
      </c>
      <c r="D407" s="0" t="n">
        <v>45.97</v>
      </c>
    </row>
    <row r="408" customFormat="false" ht="15" hidden="false" customHeight="false" outlineLevel="0" collapsed="false">
      <c r="A408" s="0" t="s">
        <v>24</v>
      </c>
      <c r="B408" s="0" t="n">
        <v>0.4</v>
      </c>
      <c r="C408" s="0" t="s">
        <v>35</v>
      </c>
      <c r="D408" s="0" t="n">
        <v>40.77</v>
      </c>
    </row>
    <row r="409" customFormat="false" ht="15" hidden="false" customHeight="false" outlineLevel="0" collapsed="false">
      <c r="A409" s="0" t="s">
        <v>24</v>
      </c>
      <c r="B409" s="0" t="n">
        <v>0.4</v>
      </c>
      <c r="C409" s="0" t="s">
        <v>35</v>
      </c>
      <c r="D409" s="0" t="n">
        <v>47.19</v>
      </c>
    </row>
    <row r="410" customFormat="false" ht="15" hidden="false" customHeight="false" outlineLevel="0" collapsed="false">
      <c r="A410" s="0" t="s">
        <v>24</v>
      </c>
      <c r="B410" s="0" t="n">
        <v>0.4</v>
      </c>
      <c r="C410" s="0" t="s">
        <v>35</v>
      </c>
      <c r="D410" s="0" t="n">
        <v>39.94</v>
      </c>
    </row>
    <row r="411" customFormat="false" ht="15" hidden="false" customHeight="false" outlineLevel="0" collapsed="false">
      <c r="A411" s="0" t="s">
        <v>24</v>
      </c>
      <c r="B411" s="0" t="n">
        <v>0.4</v>
      </c>
      <c r="C411" s="0" t="s">
        <v>36</v>
      </c>
      <c r="D411" s="0" t="n">
        <v>32.61</v>
      </c>
    </row>
    <row r="412" customFormat="false" ht="15" hidden="false" customHeight="false" outlineLevel="0" collapsed="false">
      <c r="A412" s="0" t="s">
        <v>24</v>
      </c>
      <c r="B412" s="0" t="n">
        <v>0.4</v>
      </c>
      <c r="C412" s="0" t="s">
        <v>36</v>
      </c>
      <c r="D412" s="0" t="n">
        <v>37.41</v>
      </c>
    </row>
    <row r="413" customFormat="false" ht="15" hidden="false" customHeight="false" outlineLevel="0" collapsed="false">
      <c r="A413" s="0" t="s">
        <v>24</v>
      </c>
      <c r="B413" s="0" t="n">
        <v>0.4</v>
      </c>
      <c r="C413" s="0" t="s">
        <v>36</v>
      </c>
      <c r="D413" s="0" t="n">
        <v>37.41</v>
      </c>
    </row>
    <row r="414" customFormat="false" ht="15" hidden="false" customHeight="false" outlineLevel="0" collapsed="false">
      <c r="A414" s="0" t="s">
        <v>24</v>
      </c>
      <c r="B414" s="0" t="n">
        <v>0.4</v>
      </c>
      <c r="C414" s="0" t="s">
        <v>37</v>
      </c>
      <c r="D414" s="0" t="n">
        <v>36.46</v>
      </c>
    </row>
    <row r="415" customFormat="false" ht="15" hidden="false" customHeight="false" outlineLevel="0" collapsed="false">
      <c r="A415" s="0" t="s">
        <v>24</v>
      </c>
      <c r="B415" s="0" t="n">
        <v>0.4</v>
      </c>
      <c r="C415" s="0" t="s">
        <v>37</v>
      </c>
      <c r="D415" s="0" t="n">
        <v>26.98</v>
      </c>
    </row>
    <row r="416" customFormat="false" ht="15" hidden="false" customHeight="false" outlineLevel="0" collapsed="false">
      <c r="A416" s="0" t="s">
        <v>24</v>
      </c>
      <c r="B416" s="0" t="n">
        <v>0.4</v>
      </c>
      <c r="C416" s="0" t="s">
        <v>37</v>
      </c>
      <c r="D416" s="0" t="n">
        <v>45.34</v>
      </c>
    </row>
    <row r="417" customFormat="false" ht="15" hidden="false" customHeight="false" outlineLevel="0" collapsed="false">
      <c r="A417" s="0" t="s">
        <v>24</v>
      </c>
      <c r="B417" s="0" t="n">
        <v>0.4</v>
      </c>
      <c r="C417" s="0" t="s">
        <v>38</v>
      </c>
      <c r="D417" s="0" t="n">
        <v>42.51</v>
      </c>
    </row>
    <row r="418" customFormat="false" ht="15" hidden="false" customHeight="false" outlineLevel="0" collapsed="false">
      <c r="A418" s="0" t="s">
        <v>24</v>
      </c>
      <c r="B418" s="0" t="n">
        <v>0.4</v>
      </c>
      <c r="C418" s="0" t="s">
        <v>38</v>
      </c>
      <c r="D418" s="0" t="n">
        <v>42.51</v>
      </c>
    </row>
    <row r="419" customFormat="false" ht="15" hidden="false" customHeight="false" outlineLevel="0" collapsed="false">
      <c r="A419" s="0" t="s">
        <v>24</v>
      </c>
      <c r="B419" s="0" t="n">
        <v>0.4</v>
      </c>
      <c r="C419" s="0" t="s">
        <v>38</v>
      </c>
      <c r="D419" s="0" t="n">
        <v>45.19</v>
      </c>
    </row>
    <row r="420" customFormat="false" ht="15" hidden="false" customHeight="false" outlineLevel="0" collapsed="false">
      <c r="A420" s="0" t="s">
        <v>24</v>
      </c>
      <c r="B420" s="0" t="n">
        <v>0.4</v>
      </c>
      <c r="C420" s="0" t="s">
        <v>39</v>
      </c>
      <c r="D420" s="0" t="n">
        <v>98.77</v>
      </c>
    </row>
    <row r="421" customFormat="false" ht="15" hidden="false" customHeight="false" outlineLevel="0" collapsed="false">
      <c r="A421" s="0" t="s">
        <v>24</v>
      </c>
      <c r="B421" s="0" t="n">
        <v>0.4</v>
      </c>
      <c r="C421" s="0" t="s">
        <v>39</v>
      </c>
      <c r="D421" s="0" t="n">
        <v>39.89</v>
      </c>
    </row>
    <row r="422" customFormat="false" ht="15" hidden="false" customHeight="false" outlineLevel="0" collapsed="false">
      <c r="A422" s="0" t="s">
        <v>24</v>
      </c>
      <c r="B422" s="0" t="n">
        <v>0.4</v>
      </c>
      <c r="C422" s="0" t="s">
        <v>40</v>
      </c>
      <c r="D422" s="0" t="n">
        <v>49.93</v>
      </c>
    </row>
    <row r="423" customFormat="false" ht="15" hidden="false" customHeight="false" outlineLevel="0" collapsed="false">
      <c r="A423" s="0" t="s">
        <v>24</v>
      </c>
      <c r="B423" s="0" t="n">
        <v>0.4</v>
      </c>
      <c r="C423" s="0" t="s">
        <v>40</v>
      </c>
      <c r="D423" s="0" t="n">
        <v>49.93</v>
      </c>
    </row>
    <row r="424" customFormat="false" ht="15" hidden="false" customHeight="false" outlineLevel="0" collapsed="false">
      <c r="A424" s="0" t="s">
        <v>24</v>
      </c>
      <c r="B424" s="0" t="n">
        <v>0.4</v>
      </c>
      <c r="C424" s="0" t="s">
        <v>41</v>
      </c>
      <c r="D424" s="0" t="n">
        <v>65.01</v>
      </c>
    </row>
    <row r="425" customFormat="false" ht="15" hidden="false" customHeight="false" outlineLevel="0" collapsed="false">
      <c r="A425" s="0" t="s">
        <v>24</v>
      </c>
      <c r="B425" s="0" t="n">
        <v>0.4</v>
      </c>
      <c r="C425" s="0" t="s">
        <v>41</v>
      </c>
      <c r="D425" s="0" t="n">
        <v>56.23</v>
      </c>
    </row>
    <row r="426" customFormat="false" ht="15" hidden="false" customHeight="false" outlineLevel="0" collapsed="false">
      <c r="A426" s="0" t="s">
        <v>24</v>
      </c>
      <c r="B426" s="0" t="n">
        <v>0.5</v>
      </c>
      <c r="C426" s="0" t="s">
        <v>33</v>
      </c>
      <c r="D426" s="0" t="n">
        <v>29.07</v>
      </c>
    </row>
    <row r="427" customFormat="false" ht="15" hidden="false" customHeight="false" outlineLevel="0" collapsed="false">
      <c r="A427" s="0" t="s">
        <v>24</v>
      </c>
      <c r="B427" s="0" t="n">
        <v>0.5</v>
      </c>
      <c r="C427" s="0" t="s">
        <v>33</v>
      </c>
      <c r="D427" s="0" t="n">
        <v>40.1</v>
      </c>
    </row>
    <row r="428" customFormat="false" ht="15" hidden="false" customHeight="false" outlineLevel="0" collapsed="false">
      <c r="A428" s="0" t="s">
        <v>24</v>
      </c>
      <c r="B428" s="0" t="n">
        <v>0.5</v>
      </c>
      <c r="C428" s="0" t="s">
        <v>33</v>
      </c>
      <c r="D428" s="0" t="n">
        <v>40.67</v>
      </c>
    </row>
    <row r="429" customFormat="false" ht="15" hidden="false" customHeight="false" outlineLevel="0" collapsed="false">
      <c r="A429" s="0" t="s">
        <v>24</v>
      </c>
      <c r="B429" s="0" t="n">
        <v>0.5</v>
      </c>
      <c r="C429" s="0" t="s">
        <v>34</v>
      </c>
      <c r="D429" s="0" t="n">
        <v>39.29</v>
      </c>
    </row>
    <row r="430" customFormat="false" ht="15" hidden="false" customHeight="false" outlineLevel="0" collapsed="false">
      <c r="A430" s="0" t="s">
        <v>24</v>
      </c>
      <c r="B430" s="0" t="n">
        <v>0.5</v>
      </c>
      <c r="C430" s="0" t="s">
        <v>34</v>
      </c>
      <c r="D430" s="0" t="n">
        <v>44.84</v>
      </c>
    </row>
    <row r="431" customFormat="false" ht="15" hidden="false" customHeight="false" outlineLevel="0" collapsed="false">
      <c r="A431" s="0" t="s">
        <v>24</v>
      </c>
      <c r="B431" s="0" t="n">
        <v>0.5</v>
      </c>
      <c r="C431" s="0" t="s">
        <v>34</v>
      </c>
      <c r="D431" s="0" t="n">
        <v>44.84</v>
      </c>
    </row>
    <row r="432" customFormat="false" ht="15" hidden="false" customHeight="false" outlineLevel="0" collapsed="false">
      <c r="A432" s="0" t="s">
        <v>24</v>
      </c>
      <c r="B432" s="0" t="n">
        <v>0.5</v>
      </c>
      <c r="C432" s="0" t="s">
        <v>35</v>
      </c>
      <c r="D432" s="0" t="n">
        <v>33.11</v>
      </c>
    </row>
    <row r="433" customFormat="false" ht="15" hidden="false" customHeight="false" outlineLevel="0" collapsed="false">
      <c r="A433" s="0" t="s">
        <v>24</v>
      </c>
      <c r="B433" s="0" t="n">
        <v>0.5</v>
      </c>
      <c r="C433" s="0" t="s">
        <v>35</v>
      </c>
      <c r="D433" s="0" t="n">
        <v>42.11</v>
      </c>
    </row>
    <row r="434" customFormat="false" ht="15" hidden="false" customHeight="false" outlineLevel="0" collapsed="false">
      <c r="A434" s="0" t="s">
        <v>24</v>
      </c>
      <c r="B434" s="0" t="n">
        <v>0.5</v>
      </c>
      <c r="C434" s="0" t="s">
        <v>35</v>
      </c>
      <c r="D434" s="0" t="n">
        <v>42.93</v>
      </c>
    </row>
    <row r="435" customFormat="false" ht="15" hidden="false" customHeight="false" outlineLevel="0" collapsed="false">
      <c r="A435" s="0" t="s">
        <v>24</v>
      </c>
      <c r="B435" s="0" t="n">
        <v>0.5</v>
      </c>
      <c r="C435" s="0" t="s">
        <v>36</v>
      </c>
      <c r="D435" s="0" t="n">
        <v>32.83</v>
      </c>
    </row>
    <row r="436" customFormat="false" ht="15" hidden="false" customHeight="false" outlineLevel="0" collapsed="false">
      <c r="A436" s="0" t="s">
        <v>24</v>
      </c>
      <c r="B436" s="0" t="n">
        <v>0.5</v>
      </c>
      <c r="C436" s="0" t="s">
        <v>36</v>
      </c>
      <c r="D436" s="0" t="n">
        <v>37.41</v>
      </c>
    </row>
    <row r="437" customFormat="false" ht="15" hidden="false" customHeight="false" outlineLevel="0" collapsed="false">
      <c r="A437" s="0" t="s">
        <v>24</v>
      </c>
      <c r="B437" s="0" t="n">
        <v>0.5</v>
      </c>
      <c r="C437" s="0" t="s">
        <v>36</v>
      </c>
      <c r="D437" s="0" t="n">
        <v>37.41</v>
      </c>
    </row>
    <row r="438" customFormat="false" ht="15" hidden="false" customHeight="false" outlineLevel="0" collapsed="false">
      <c r="A438" s="0" t="s">
        <v>24</v>
      </c>
      <c r="B438" s="0" t="n">
        <v>0.5</v>
      </c>
      <c r="C438" s="0" t="s">
        <v>37</v>
      </c>
      <c r="D438" s="0" t="n">
        <v>29.79</v>
      </c>
    </row>
    <row r="439" customFormat="false" ht="15" hidden="false" customHeight="false" outlineLevel="0" collapsed="false">
      <c r="A439" s="0" t="s">
        <v>24</v>
      </c>
      <c r="B439" s="0" t="n">
        <v>0.5</v>
      </c>
      <c r="C439" s="0" t="s">
        <v>37</v>
      </c>
      <c r="D439" s="0" t="n">
        <v>39.26</v>
      </c>
    </row>
    <row r="440" customFormat="false" ht="15" hidden="false" customHeight="false" outlineLevel="0" collapsed="false">
      <c r="A440" s="0" t="s">
        <v>24</v>
      </c>
      <c r="B440" s="0" t="n">
        <v>0.5</v>
      </c>
      <c r="C440" s="0" t="s">
        <v>37</v>
      </c>
      <c r="D440" s="0" t="n">
        <v>39.26</v>
      </c>
    </row>
    <row r="441" customFormat="false" ht="15" hidden="false" customHeight="false" outlineLevel="0" collapsed="false">
      <c r="A441" s="0" t="s">
        <v>24</v>
      </c>
      <c r="B441" s="0" t="n">
        <v>0.5</v>
      </c>
      <c r="C441" s="0" t="s">
        <v>38</v>
      </c>
      <c r="D441" s="0" t="n">
        <v>45.19</v>
      </c>
    </row>
    <row r="442" customFormat="false" ht="15" hidden="false" customHeight="false" outlineLevel="0" collapsed="false">
      <c r="A442" s="0" t="s">
        <v>24</v>
      </c>
      <c r="B442" s="0" t="n">
        <v>0.5</v>
      </c>
      <c r="C442" s="0" t="s">
        <v>38</v>
      </c>
      <c r="D442" s="0" t="n">
        <v>45.08</v>
      </c>
    </row>
    <row r="443" customFormat="false" ht="15" hidden="false" customHeight="false" outlineLevel="0" collapsed="false">
      <c r="A443" s="0" t="s">
        <v>24</v>
      </c>
      <c r="B443" s="0" t="n">
        <v>0.5</v>
      </c>
      <c r="C443" s="0" t="s">
        <v>38</v>
      </c>
      <c r="D443" s="0" t="n">
        <v>42.51</v>
      </c>
    </row>
    <row r="444" customFormat="false" ht="15" hidden="false" customHeight="false" outlineLevel="0" collapsed="false">
      <c r="A444" s="0" t="s">
        <v>24</v>
      </c>
      <c r="B444" s="0" t="n">
        <v>0.5</v>
      </c>
      <c r="C444" s="0" t="s">
        <v>39</v>
      </c>
      <c r="D444" s="0" t="n">
        <v>31.06</v>
      </c>
    </row>
    <row r="445" customFormat="false" ht="15" hidden="false" customHeight="false" outlineLevel="0" collapsed="false">
      <c r="A445" s="0" t="s">
        <v>24</v>
      </c>
      <c r="B445" s="0" t="n">
        <v>0.5</v>
      </c>
      <c r="C445" s="0" t="s">
        <v>39</v>
      </c>
      <c r="D445" s="0" t="n">
        <v>41.21</v>
      </c>
    </row>
    <row r="446" customFormat="false" ht="15" hidden="false" customHeight="false" outlineLevel="0" collapsed="false">
      <c r="A446" s="0" t="s">
        <v>24</v>
      </c>
      <c r="B446" s="0" t="n">
        <v>0.5</v>
      </c>
      <c r="C446" s="0" t="s">
        <v>40</v>
      </c>
      <c r="D446" s="0" t="n">
        <v>49.93</v>
      </c>
    </row>
    <row r="447" customFormat="false" ht="15" hidden="false" customHeight="false" outlineLevel="0" collapsed="false">
      <c r="A447" s="0" t="s">
        <v>24</v>
      </c>
      <c r="B447" s="0" t="n">
        <v>0.5</v>
      </c>
      <c r="C447" s="0" t="s">
        <v>41</v>
      </c>
      <c r="D447" s="0" t="n">
        <v>53.09</v>
      </c>
    </row>
    <row r="448" customFormat="false" ht="15" hidden="false" customHeight="false" outlineLevel="0" collapsed="false">
      <c r="A448" s="0" t="s">
        <v>25</v>
      </c>
      <c r="B448" s="0" t="n">
        <v>0.3</v>
      </c>
      <c r="C448" s="0" t="s">
        <v>33</v>
      </c>
      <c r="D448" s="0" t="n">
        <v>44.29</v>
      </c>
    </row>
    <row r="449" customFormat="false" ht="15" hidden="false" customHeight="false" outlineLevel="0" collapsed="false">
      <c r="A449" s="0" t="s">
        <v>25</v>
      </c>
      <c r="B449" s="0" t="n">
        <v>0.3</v>
      </c>
      <c r="C449" s="0" t="s">
        <v>33</v>
      </c>
      <c r="D449" s="0" t="n">
        <v>46.88</v>
      </c>
    </row>
    <row r="450" customFormat="false" ht="15" hidden="false" customHeight="false" outlineLevel="0" collapsed="false">
      <c r="A450" s="0" t="s">
        <v>25</v>
      </c>
      <c r="B450" s="0" t="n">
        <v>0.3</v>
      </c>
      <c r="C450" s="0" t="s">
        <v>33</v>
      </c>
      <c r="D450" s="0" t="n">
        <v>47</v>
      </c>
    </row>
    <row r="451" customFormat="false" ht="15" hidden="false" customHeight="false" outlineLevel="0" collapsed="false">
      <c r="A451" s="0" t="s">
        <v>25</v>
      </c>
      <c r="B451" s="0" t="n">
        <v>0.3</v>
      </c>
      <c r="C451" s="0" t="s">
        <v>34</v>
      </c>
      <c r="D451" s="0" t="n">
        <v>53.9</v>
      </c>
    </row>
    <row r="452" customFormat="false" ht="15" hidden="false" customHeight="false" outlineLevel="0" collapsed="false">
      <c r="A452" s="0" t="s">
        <v>25</v>
      </c>
      <c r="B452" s="0" t="n">
        <v>0.3</v>
      </c>
      <c r="C452" s="0" t="s">
        <v>34</v>
      </c>
      <c r="D452" s="0" t="n">
        <v>64.59</v>
      </c>
    </row>
    <row r="453" customFormat="false" ht="15" hidden="false" customHeight="false" outlineLevel="0" collapsed="false">
      <c r="A453" s="0" t="s">
        <v>25</v>
      </c>
      <c r="B453" s="0" t="n">
        <v>0.3</v>
      </c>
      <c r="C453" s="0" t="s">
        <v>34</v>
      </c>
      <c r="D453" s="0" t="n">
        <v>60.49</v>
      </c>
    </row>
    <row r="454" customFormat="false" ht="15" hidden="false" customHeight="false" outlineLevel="0" collapsed="false">
      <c r="A454" s="0" t="s">
        <v>25</v>
      </c>
      <c r="B454" s="0" t="n">
        <v>0.3</v>
      </c>
      <c r="C454" s="0" t="s">
        <v>35</v>
      </c>
      <c r="D454" s="0" t="n">
        <v>49.79</v>
      </c>
    </row>
    <row r="455" customFormat="false" ht="15" hidden="false" customHeight="false" outlineLevel="0" collapsed="false">
      <c r="A455" s="0" t="s">
        <v>25</v>
      </c>
      <c r="B455" s="0" t="n">
        <v>0.3</v>
      </c>
      <c r="C455" s="0" t="s">
        <v>35</v>
      </c>
      <c r="D455" s="0" t="n">
        <v>55.1</v>
      </c>
    </row>
    <row r="456" customFormat="false" ht="15" hidden="false" customHeight="false" outlineLevel="0" collapsed="false">
      <c r="A456" s="0" t="s">
        <v>25</v>
      </c>
      <c r="B456" s="0" t="n">
        <v>0.3</v>
      </c>
      <c r="C456" s="0" t="s">
        <v>35</v>
      </c>
      <c r="D456" s="0" t="n">
        <v>55.78</v>
      </c>
    </row>
    <row r="457" customFormat="false" ht="15" hidden="false" customHeight="false" outlineLevel="0" collapsed="false">
      <c r="A457" s="0" t="s">
        <v>25</v>
      </c>
      <c r="B457" s="0" t="n">
        <v>0.3</v>
      </c>
      <c r="C457" s="0" t="s">
        <v>36</v>
      </c>
      <c r="D457" s="0" t="n">
        <v>66.35</v>
      </c>
    </row>
    <row r="458" customFormat="false" ht="15" hidden="false" customHeight="false" outlineLevel="0" collapsed="false">
      <c r="A458" s="0" t="s">
        <v>25</v>
      </c>
      <c r="B458" s="0" t="n">
        <v>0.3</v>
      </c>
      <c r="C458" s="0" t="s">
        <v>36</v>
      </c>
      <c r="D458" s="0" t="n">
        <v>26.08</v>
      </c>
    </row>
    <row r="459" customFormat="false" ht="15" hidden="false" customHeight="false" outlineLevel="0" collapsed="false">
      <c r="A459" s="0" t="s">
        <v>25</v>
      </c>
      <c r="B459" s="0" t="n">
        <v>0.3</v>
      </c>
      <c r="C459" s="0" t="s">
        <v>37</v>
      </c>
      <c r="D459" s="0" t="n">
        <v>22.57</v>
      </c>
    </row>
    <row r="460" customFormat="false" ht="15" hidden="false" customHeight="false" outlineLevel="0" collapsed="false">
      <c r="A460" s="0" t="s">
        <v>25</v>
      </c>
      <c r="B460" s="0" t="n">
        <v>0.3</v>
      </c>
      <c r="C460" s="0" t="s">
        <v>37</v>
      </c>
      <c r="D460" s="0" t="n">
        <v>24.06</v>
      </c>
    </row>
    <row r="461" customFormat="false" ht="15" hidden="false" customHeight="false" outlineLevel="0" collapsed="false">
      <c r="A461" s="0" t="s">
        <v>25</v>
      </c>
      <c r="B461" s="0" t="n">
        <v>0.3</v>
      </c>
      <c r="C461" s="0" t="s">
        <v>37</v>
      </c>
      <c r="D461" s="0" t="n">
        <v>26.29</v>
      </c>
    </row>
    <row r="462" customFormat="false" ht="15" hidden="false" customHeight="false" outlineLevel="0" collapsed="false">
      <c r="A462" s="0" t="s">
        <v>25</v>
      </c>
      <c r="B462" s="0" t="n">
        <v>0.3</v>
      </c>
      <c r="C462" s="0" t="s">
        <v>38</v>
      </c>
      <c r="D462" s="0" t="n">
        <v>36.46</v>
      </c>
    </row>
    <row r="463" customFormat="false" ht="15" hidden="false" customHeight="false" outlineLevel="0" collapsed="false">
      <c r="A463" s="0" t="s">
        <v>25</v>
      </c>
      <c r="B463" s="0" t="n">
        <v>0.3</v>
      </c>
      <c r="C463" s="0" t="s">
        <v>38</v>
      </c>
      <c r="D463" s="0" t="n">
        <v>14.16</v>
      </c>
    </row>
    <row r="464" customFormat="false" ht="15" hidden="false" customHeight="false" outlineLevel="0" collapsed="false">
      <c r="A464" s="0" t="s">
        <v>25</v>
      </c>
      <c r="B464" s="0" t="n">
        <v>0.3</v>
      </c>
      <c r="C464" s="0" t="s">
        <v>38</v>
      </c>
      <c r="D464" s="0" t="n">
        <v>53.88</v>
      </c>
    </row>
    <row r="465" customFormat="false" ht="15" hidden="false" customHeight="false" outlineLevel="0" collapsed="false">
      <c r="A465" s="0" t="s">
        <v>25</v>
      </c>
      <c r="B465" s="0" t="n">
        <v>0.3</v>
      </c>
      <c r="C465" s="0" t="s">
        <v>39</v>
      </c>
      <c r="D465" s="0" t="n">
        <v>27.86</v>
      </c>
    </row>
    <row r="466" customFormat="false" ht="15" hidden="false" customHeight="false" outlineLevel="0" collapsed="false">
      <c r="A466" s="0" t="s">
        <v>25</v>
      </c>
      <c r="B466" s="0" t="n">
        <v>0.3</v>
      </c>
      <c r="C466" s="0" t="s">
        <v>39</v>
      </c>
      <c r="D466" s="0" t="n">
        <v>23.65</v>
      </c>
    </row>
    <row r="467" customFormat="false" ht="15" hidden="false" customHeight="false" outlineLevel="0" collapsed="false">
      <c r="A467" s="0" t="s">
        <v>25</v>
      </c>
      <c r="B467" s="0" t="n">
        <v>0.3</v>
      </c>
      <c r="C467" s="0" t="s">
        <v>39</v>
      </c>
      <c r="D467" s="0" t="n">
        <v>24.12</v>
      </c>
    </row>
    <row r="468" customFormat="false" ht="15" hidden="false" customHeight="false" outlineLevel="0" collapsed="false">
      <c r="A468" s="0" t="s">
        <v>25</v>
      </c>
      <c r="B468" s="0" t="n">
        <v>0.3</v>
      </c>
      <c r="C468" s="0" t="s">
        <v>40</v>
      </c>
      <c r="D468" s="0" t="n">
        <v>52.71</v>
      </c>
    </row>
    <row r="469" customFormat="false" ht="15" hidden="false" customHeight="false" outlineLevel="0" collapsed="false">
      <c r="A469" s="0" t="s">
        <v>25</v>
      </c>
      <c r="B469" s="0" t="n">
        <v>0.3</v>
      </c>
      <c r="C469" s="0" t="s">
        <v>40</v>
      </c>
      <c r="D469" s="0" t="n">
        <v>39.34</v>
      </c>
    </row>
    <row r="470" customFormat="false" ht="15" hidden="false" customHeight="false" outlineLevel="0" collapsed="false">
      <c r="A470" s="0" t="s">
        <v>25</v>
      </c>
      <c r="B470" s="0" t="n">
        <v>0.3</v>
      </c>
      <c r="C470" s="0" t="s">
        <v>40</v>
      </c>
      <c r="D470" s="0" t="n">
        <v>53.94</v>
      </c>
    </row>
    <row r="471" customFormat="false" ht="15" hidden="false" customHeight="false" outlineLevel="0" collapsed="false">
      <c r="A471" s="0" t="s">
        <v>25</v>
      </c>
      <c r="B471" s="0" t="n">
        <v>0.3</v>
      </c>
      <c r="C471" s="0" t="s">
        <v>41</v>
      </c>
      <c r="D471" s="0" t="n">
        <v>48.98</v>
      </c>
    </row>
    <row r="472" customFormat="false" ht="15" hidden="false" customHeight="false" outlineLevel="0" collapsed="false">
      <c r="A472" s="0" t="s">
        <v>25</v>
      </c>
      <c r="B472" s="0" t="n">
        <v>0.3</v>
      </c>
      <c r="C472" s="0" t="s">
        <v>41</v>
      </c>
      <c r="D472" s="0" t="n">
        <v>44.42</v>
      </c>
    </row>
    <row r="473" customFormat="false" ht="15" hidden="false" customHeight="false" outlineLevel="0" collapsed="false">
      <c r="A473" s="0" t="s">
        <v>25</v>
      </c>
      <c r="B473" s="0" t="n">
        <v>0.3</v>
      </c>
      <c r="C473" s="0" t="s">
        <v>41</v>
      </c>
      <c r="D473" s="0" t="n">
        <v>113.09</v>
      </c>
    </row>
    <row r="474" customFormat="false" ht="15" hidden="false" customHeight="false" outlineLevel="0" collapsed="false">
      <c r="A474" s="0" t="s">
        <v>25</v>
      </c>
      <c r="B474" s="0" t="n">
        <v>0.4</v>
      </c>
      <c r="C474" s="0" t="s">
        <v>33</v>
      </c>
      <c r="D474" s="0" t="n">
        <v>30.72</v>
      </c>
    </row>
    <row r="475" customFormat="false" ht="15" hidden="false" customHeight="false" outlineLevel="0" collapsed="false">
      <c r="A475" s="0" t="s">
        <v>25</v>
      </c>
      <c r="B475" s="0" t="n">
        <v>0.4</v>
      </c>
      <c r="C475" s="0" t="s">
        <v>33</v>
      </c>
      <c r="D475" s="0" t="n">
        <v>33.76</v>
      </c>
    </row>
    <row r="476" customFormat="false" ht="15" hidden="false" customHeight="false" outlineLevel="0" collapsed="false">
      <c r="A476" s="0" t="s">
        <v>25</v>
      </c>
      <c r="B476" s="0" t="n">
        <v>0.4</v>
      </c>
      <c r="C476" s="0" t="s">
        <v>33</v>
      </c>
      <c r="D476" s="0" t="n">
        <v>35.73</v>
      </c>
    </row>
    <row r="477" customFormat="false" ht="15" hidden="false" customHeight="false" outlineLevel="0" collapsed="false">
      <c r="A477" s="0" t="s">
        <v>25</v>
      </c>
      <c r="B477" s="0" t="n">
        <v>0.4</v>
      </c>
      <c r="C477" s="0" t="s">
        <v>34</v>
      </c>
      <c r="D477" s="0" t="n">
        <v>52.2</v>
      </c>
    </row>
    <row r="478" customFormat="false" ht="15" hidden="false" customHeight="false" outlineLevel="0" collapsed="false">
      <c r="A478" s="0" t="s">
        <v>25</v>
      </c>
      <c r="B478" s="0" t="n">
        <v>0.4</v>
      </c>
      <c r="C478" s="0" t="s">
        <v>34</v>
      </c>
      <c r="D478" s="0" t="n">
        <v>49.87</v>
      </c>
    </row>
    <row r="479" customFormat="false" ht="15" hidden="false" customHeight="false" outlineLevel="0" collapsed="false">
      <c r="A479" s="0" t="s">
        <v>25</v>
      </c>
      <c r="B479" s="0" t="n">
        <v>0.4</v>
      </c>
      <c r="C479" s="0" t="s">
        <v>34</v>
      </c>
      <c r="D479" s="0" t="n">
        <v>33.39</v>
      </c>
    </row>
    <row r="480" customFormat="false" ht="15" hidden="false" customHeight="false" outlineLevel="0" collapsed="false">
      <c r="A480" s="0" t="s">
        <v>25</v>
      </c>
      <c r="B480" s="0" t="n">
        <v>0.4</v>
      </c>
      <c r="C480" s="0" t="s">
        <v>35</v>
      </c>
      <c r="D480" s="0" t="n">
        <v>30.6</v>
      </c>
    </row>
    <row r="481" customFormat="false" ht="15" hidden="false" customHeight="false" outlineLevel="0" collapsed="false">
      <c r="A481" s="0" t="s">
        <v>25</v>
      </c>
      <c r="B481" s="0" t="n">
        <v>0.4</v>
      </c>
      <c r="C481" s="0" t="s">
        <v>35</v>
      </c>
      <c r="D481" s="0" t="n">
        <v>35.41</v>
      </c>
    </row>
    <row r="482" customFormat="false" ht="15" hidden="false" customHeight="false" outlineLevel="0" collapsed="false">
      <c r="A482" s="0" t="s">
        <v>25</v>
      </c>
      <c r="B482" s="0" t="n">
        <v>0.4</v>
      </c>
      <c r="C482" s="0" t="s">
        <v>35</v>
      </c>
      <c r="D482" s="0" t="n">
        <v>40.58</v>
      </c>
    </row>
    <row r="483" customFormat="false" ht="15" hidden="false" customHeight="false" outlineLevel="0" collapsed="false">
      <c r="A483" s="0" t="s">
        <v>25</v>
      </c>
      <c r="B483" s="0" t="n">
        <v>0.4</v>
      </c>
      <c r="C483" s="0" t="s">
        <v>36</v>
      </c>
      <c r="D483" s="0" t="n">
        <v>44.73</v>
      </c>
    </row>
    <row r="484" customFormat="false" ht="15" hidden="false" customHeight="false" outlineLevel="0" collapsed="false">
      <c r="A484" s="0" t="s">
        <v>25</v>
      </c>
      <c r="B484" s="0" t="n">
        <v>0.4</v>
      </c>
      <c r="C484" s="0" t="s">
        <v>36</v>
      </c>
      <c r="D484" s="0" t="n">
        <v>22.43</v>
      </c>
    </row>
    <row r="485" customFormat="false" ht="15" hidden="false" customHeight="false" outlineLevel="0" collapsed="false">
      <c r="A485" s="0" t="s">
        <v>25</v>
      </c>
      <c r="B485" s="0" t="n">
        <v>0.4</v>
      </c>
      <c r="C485" s="0" t="s">
        <v>36</v>
      </c>
      <c r="D485" s="0" t="n">
        <v>26.56</v>
      </c>
    </row>
    <row r="486" customFormat="false" ht="15" hidden="false" customHeight="false" outlineLevel="0" collapsed="false">
      <c r="A486" s="0" t="s">
        <v>25</v>
      </c>
      <c r="B486" s="0" t="n">
        <v>0.4</v>
      </c>
      <c r="C486" s="0" t="s">
        <v>37</v>
      </c>
      <c r="D486" s="0" t="n">
        <v>20.37</v>
      </c>
    </row>
    <row r="487" customFormat="false" ht="15" hidden="false" customHeight="false" outlineLevel="0" collapsed="false">
      <c r="A487" s="0" t="s">
        <v>25</v>
      </c>
      <c r="B487" s="0" t="n">
        <v>0.4</v>
      </c>
      <c r="C487" s="0" t="s">
        <v>37</v>
      </c>
      <c r="D487" s="0" t="n">
        <v>23.15</v>
      </c>
    </row>
    <row r="488" customFormat="false" ht="15" hidden="false" customHeight="false" outlineLevel="0" collapsed="false">
      <c r="A488" s="0" t="s">
        <v>25</v>
      </c>
      <c r="B488" s="0" t="n">
        <v>0.4</v>
      </c>
      <c r="C488" s="0" t="s">
        <v>37</v>
      </c>
      <c r="D488" s="0" t="n">
        <v>15.66</v>
      </c>
    </row>
    <row r="489" customFormat="false" ht="15" hidden="false" customHeight="false" outlineLevel="0" collapsed="false">
      <c r="A489" s="0" t="s">
        <v>25</v>
      </c>
      <c r="B489" s="0" t="n">
        <v>0.4</v>
      </c>
      <c r="C489" s="0" t="s">
        <v>38</v>
      </c>
      <c r="D489" s="0" t="n">
        <v>33.5</v>
      </c>
    </row>
    <row r="490" customFormat="false" ht="15" hidden="false" customHeight="false" outlineLevel="0" collapsed="false">
      <c r="A490" s="0" t="s">
        <v>25</v>
      </c>
      <c r="B490" s="0" t="n">
        <v>0.4</v>
      </c>
      <c r="C490" s="0" t="s">
        <v>38</v>
      </c>
      <c r="D490" s="0" t="n">
        <v>25.91</v>
      </c>
    </row>
    <row r="491" customFormat="false" ht="15" hidden="false" customHeight="false" outlineLevel="0" collapsed="false">
      <c r="A491" s="0" t="s">
        <v>25</v>
      </c>
      <c r="B491" s="0" t="n">
        <v>0.4</v>
      </c>
      <c r="C491" s="0" t="s">
        <v>38</v>
      </c>
      <c r="D491" s="0" t="n">
        <v>36.75</v>
      </c>
    </row>
    <row r="492" customFormat="false" ht="15" hidden="false" customHeight="false" outlineLevel="0" collapsed="false">
      <c r="A492" s="0" t="s">
        <v>25</v>
      </c>
      <c r="B492" s="0" t="n">
        <v>0.4</v>
      </c>
      <c r="C492" s="0" t="s">
        <v>39</v>
      </c>
      <c r="D492" s="0" t="n">
        <v>27.78</v>
      </c>
    </row>
    <row r="493" customFormat="false" ht="15" hidden="false" customHeight="false" outlineLevel="0" collapsed="false">
      <c r="A493" s="0" t="s">
        <v>25</v>
      </c>
      <c r="B493" s="0" t="n">
        <v>0.4</v>
      </c>
      <c r="C493" s="0" t="s">
        <v>39</v>
      </c>
      <c r="D493" s="0" t="n">
        <v>38.63</v>
      </c>
    </row>
    <row r="494" customFormat="false" ht="15" hidden="false" customHeight="false" outlineLevel="0" collapsed="false">
      <c r="A494" s="0" t="s">
        <v>25</v>
      </c>
      <c r="B494" s="0" t="n">
        <v>0.4</v>
      </c>
      <c r="C494" s="0" t="s">
        <v>39</v>
      </c>
      <c r="D494" s="0" t="n">
        <v>16.84</v>
      </c>
    </row>
    <row r="495" customFormat="false" ht="15" hidden="false" customHeight="false" outlineLevel="0" collapsed="false">
      <c r="A495" s="0" t="s">
        <v>25</v>
      </c>
      <c r="B495" s="0" t="n">
        <v>0.4</v>
      </c>
      <c r="C495" s="0" t="s">
        <v>40</v>
      </c>
      <c r="D495" s="0" t="n">
        <v>45.86</v>
      </c>
    </row>
    <row r="496" customFormat="false" ht="15" hidden="false" customHeight="false" outlineLevel="0" collapsed="false">
      <c r="A496" s="0" t="s">
        <v>25</v>
      </c>
      <c r="B496" s="0" t="n">
        <v>0.4</v>
      </c>
      <c r="C496" s="0" t="s">
        <v>40</v>
      </c>
      <c r="D496" s="0" t="n">
        <v>50.89</v>
      </c>
    </row>
    <row r="497" customFormat="false" ht="15" hidden="false" customHeight="false" outlineLevel="0" collapsed="false">
      <c r="A497" s="0" t="s">
        <v>25</v>
      </c>
      <c r="B497" s="0" t="n">
        <v>0.4</v>
      </c>
      <c r="C497" s="0" t="s">
        <v>40</v>
      </c>
      <c r="D497" s="0" t="n">
        <v>49.98</v>
      </c>
    </row>
    <row r="498" customFormat="false" ht="15" hidden="false" customHeight="false" outlineLevel="0" collapsed="false">
      <c r="A498" s="0" t="s">
        <v>25</v>
      </c>
      <c r="B498" s="0" t="n">
        <v>0.4</v>
      </c>
      <c r="C498" s="0" t="s">
        <v>41</v>
      </c>
      <c r="D498" s="0" t="n">
        <v>34.03</v>
      </c>
    </row>
    <row r="499" customFormat="false" ht="15" hidden="false" customHeight="false" outlineLevel="0" collapsed="false">
      <c r="A499" s="0" t="s">
        <v>25</v>
      </c>
      <c r="B499" s="0" t="n">
        <v>0.4</v>
      </c>
      <c r="C499" s="0" t="s">
        <v>41</v>
      </c>
      <c r="D499" s="0" t="n">
        <v>18.08</v>
      </c>
    </row>
    <row r="500" customFormat="false" ht="15" hidden="false" customHeight="false" outlineLevel="0" collapsed="false">
      <c r="A500" s="0" t="s">
        <v>25</v>
      </c>
      <c r="B500" s="0" t="n">
        <v>0.4</v>
      </c>
      <c r="C500" s="0" t="s">
        <v>41</v>
      </c>
      <c r="D500" s="0" t="n">
        <v>94.5</v>
      </c>
    </row>
    <row r="501" customFormat="false" ht="15" hidden="false" customHeight="false" outlineLevel="0" collapsed="false">
      <c r="A501" s="0" t="s">
        <v>25</v>
      </c>
      <c r="B501" s="0" t="n">
        <v>0.5</v>
      </c>
      <c r="C501" s="0" t="s">
        <v>33</v>
      </c>
      <c r="D501" s="0" t="n">
        <v>39.63</v>
      </c>
    </row>
    <row r="502" customFormat="false" ht="15" hidden="false" customHeight="false" outlineLevel="0" collapsed="false">
      <c r="A502" s="0" t="s">
        <v>25</v>
      </c>
      <c r="B502" s="0" t="n">
        <v>0.5</v>
      </c>
      <c r="C502" s="0" t="s">
        <v>34</v>
      </c>
      <c r="D502" s="0" t="n">
        <v>39.62</v>
      </c>
    </row>
    <row r="503" customFormat="false" ht="15" hidden="false" customHeight="false" outlineLevel="0" collapsed="false">
      <c r="A503" s="0" t="s">
        <v>25</v>
      </c>
      <c r="B503" s="0" t="n">
        <v>0.5</v>
      </c>
      <c r="C503" s="0" t="s">
        <v>35</v>
      </c>
      <c r="D503" s="0" t="n">
        <v>42.85</v>
      </c>
    </row>
    <row r="504" customFormat="false" ht="15" hidden="false" customHeight="false" outlineLevel="0" collapsed="false">
      <c r="A504" s="0" t="s">
        <v>25</v>
      </c>
      <c r="B504" s="0" t="n">
        <v>0.5</v>
      </c>
      <c r="C504" s="0" t="s">
        <v>36</v>
      </c>
      <c r="D504" s="0" t="n">
        <v>25.51</v>
      </c>
    </row>
    <row r="505" customFormat="false" ht="15" hidden="false" customHeight="false" outlineLevel="0" collapsed="false">
      <c r="A505" s="0" t="s">
        <v>25</v>
      </c>
      <c r="B505" s="0" t="n">
        <v>0.5</v>
      </c>
      <c r="C505" s="0" t="s">
        <v>37</v>
      </c>
      <c r="D505" s="0" t="n">
        <v>32.97</v>
      </c>
    </row>
    <row r="506" customFormat="false" ht="15" hidden="false" customHeight="false" outlineLevel="0" collapsed="false">
      <c r="A506" s="0" t="s">
        <v>25</v>
      </c>
      <c r="B506" s="0" t="n">
        <v>0.5</v>
      </c>
      <c r="C506" s="0" t="s">
        <v>38</v>
      </c>
      <c r="D506" s="0" t="n">
        <v>35.34</v>
      </c>
    </row>
    <row r="507" customFormat="false" ht="15" hidden="false" customHeight="false" outlineLevel="0" collapsed="false">
      <c r="A507" s="0" t="s">
        <v>25</v>
      </c>
      <c r="B507" s="0" t="n">
        <v>0.5</v>
      </c>
      <c r="C507" s="0" t="s">
        <v>39</v>
      </c>
      <c r="D507" s="0" t="n">
        <v>31.27</v>
      </c>
    </row>
    <row r="508" customFormat="false" ht="15" hidden="false" customHeight="false" outlineLevel="0" collapsed="false">
      <c r="A508" s="0" t="s">
        <v>25</v>
      </c>
      <c r="B508" s="0" t="n">
        <v>0.5</v>
      </c>
      <c r="C508" s="0" t="s">
        <v>40</v>
      </c>
      <c r="D508" s="0" t="n">
        <v>52.56</v>
      </c>
    </row>
    <row r="509" customFormat="false" ht="15" hidden="false" customHeight="false" outlineLevel="0" collapsed="false">
      <c r="A509" s="0" t="s">
        <v>25</v>
      </c>
      <c r="B509" s="0" t="n">
        <v>0.5</v>
      </c>
      <c r="C509" s="0" t="s">
        <v>41</v>
      </c>
      <c r="D509" s="0" t="n">
        <v>45.13</v>
      </c>
    </row>
    <row r="510" customFormat="false" ht="15" hidden="false" customHeight="false" outlineLevel="0" collapsed="false">
      <c r="A510" s="0" t="s">
        <v>26</v>
      </c>
      <c r="B510" s="0" t="n">
        <v>0.3</v>
      </c>
      <c r="C510" s="0" t="s">
        <v>33</v>
      </c>
      <c r="D510" s="0" t="n">
        <v>31.88</v>
      </c>
    </row>
    <row r="511" customFormat="false" ht="15" hidden="false" customHeight="false" outlineLevel="0" collapsed="false">
      <c r="A511" s="0" t="s">
        <v>26</v>
      </c>
      <c r="B511" s="0" t="n">
        <v>0.3</v>
      </c>
      <c r="C511" s="0" t="s">
        <v>33</v>
      </c>
      <c r="D511" s="0" t="n">
        <v>39.23</v>
      </c>
    </row>
    <row r="512" customFormat="false" ht="15" hidden="false" customHeight="false" outlineLevel="0" collapsed="false">
      <c r="A512" s="0" t="s">
        <v>26</v>
      </c>
      <c r="B512" s="0" t="n">
        <v>0.3</v>
      </c>
      <c r="C512" s="0" t="s">
        <v>33</v>
      </c>
      <c r="D512" s="0" t="n">
        <v>39.58</v>
      </c>
    </row>
    <row r="513" customFormat="false" ht="15" hidden="false" customHeight="false" outlineLevel="0" collapsed="false">
      <c r="A513" s="0" t="s">
        <v>26</v>
      </c>
      <c r="B513" s="0" t="n">
        <v>0.3</v>
      </c>
      <c r="C513" s="0" t="s">
        <v>34</v>
      </c>
      <c r="D513" s="0" t="n">
        <v>41.94</v>
      </c>
    </row>
    <row r="514" customFormat="false" ht="15" hidden="false" customHeight="false" outlineLevel="0" collapsed="false">
      <c r="A514" s="0" t="s">
        <v>26</v>
      </c>
      <c r="B514" s="0" t="n">
        <v>0.3</v>
      </c>
      <c r="C514" s="0" t="s">
        <v>34</v>
      </c>
      <c r="D514" s="0" t="n">
        <v>42.67</v>
      </c>
    </row>
    <row r="515" customFormat="false" ht="15" hidden="false" customHeight="false" outlineLevel="0" collapsed="false">
      <c r="A515" s="0" t="s">
        <v>26</v>
      </c>
      <c r="B515" s="0" t="n">
        <v>0.3</v>
      </c>
      <c r="C515" s="0" t="s">
        <v>34</v>
      </c>
      <c r="D515" s="0" t="n">
        <v>47.24</v>
      </c>
    </row>
    <row r="516" customFormat="false" ht="15" hidden="false" customHeight="false" outlineLevel="0" collapsed="false">
      <c r="A516" s="0" t="s">
        <v>26</v>
      </c>
      <c r="B516" s="0" t="n">
        <v>0.3</v>
      </c>
      <c r="C516" s="0" t="s">
        <v>35</v>
      </c>
      <c r="D516" s="0" t="n">
        <v>42.79</v>
      </c>
    </row>
    <row r="517" customFormat="false" ht="15" hidden="false" customHeight="false" outlineLevel="0" collapsed="false">
      <c r="A517" s="0" t="s">
        <v>26</v>
      </c>
      <c r="B517" s="0" t="n">
        <v>0.3</v>
      </c>
      <c r="C517" s="0" t="s">
        <v>35</v>
      </c>
      <c r="D517" s="0" t="n">
        <v>59.55</v>
      </c>
    </row>
    <row r="518" customFormat="false" ht="15" hidden="false" customHeight="false" outlineLevel="0" collapsed="false">
      <c r="A518" s="0" t="s">
        <v>26</v>
      </c>
      <c r="B518" s="0" t="n">
        <v>0.3</v>
      </c>
      <c r="C518" s="0" t="s">
        <v>35</v>
      </c>
      <c r="D518" s="0" t="n">
        <v>47.38</v>
      </c>
    </row>
    <row r="519" customFormat="false" ht="15" hidden="false" customHeight="false" outlineLevel="0" collapsed="false">
      <c r="A519" s="0" t="s">
        <v>26</v>
      </c>
      <c r="B519" s="0" t="n">
        <v>0.3</v>
      </c>
      <c r="C519" s="0" t="s">
        <v>36</v>
      </c>
      <c r="D519" s="0" t="n">
        <v>43.43</v>
      </c>
    </row>
    <row r="520" customFormat="false" ht="15" hidden="false" customHeight="false" outlineLevel="0" collapsed="false">
      <c r="A520" s="0" t="s">
        <v>26</v>
      </c>
      <c r="B520" s="0" t="n">
        <v>0.3</v>
      </c>
      <c r="C520" s="0" t="s">
        <v>36</v>
      </c>
      <c r="D520" s="0" t="n">
        <v>39.64</v>
      </c>
    </row>
    <row r="521" customFormat="false" ht="15" hidden="false" customHeight="false" outlineLevel="0" collapsed="false">
      <c r="A521" s="0" t="s">
        <v>26</v>
      </c>
      <c r="B521" s="0" t="n">
        <v>0.3</v>
      </c>
      <c r="C521" s="0" t="s">
        <v>36</v>
      </c>
      <c r="D521" s="0" t="n">
        <v>44.9</v>
      </c>
    </row>
    <row r="522" customFormat="false" ht="15" hidden="false" customHeight="false" outlineLevel="0" collapsed="false">
      <c r="A522" s="0" t="s">
        <v>26</v>
      </c>
      <c r="B522" s="0" t="n">
        <v>0.3</v>
      </c>
      <c r="C522" s="0" t="s">
        <v>37</v>
      </c>
      <c r="D522" s="0" t="n">
        <v>17.19</v>
      </c>
    </row>
    <row r="523" customFormat="false" ht="15" hidden="false" customHeight="false" outlineLevel="0" collapsed="false">
      <c r="A523" s="0" t="s">
        <v>26</v>
      </c>
      <c r="B523" s="0" t="n">
        <v>0.3</v>
      </c>
      <c r="C523" s="0" t="s">
        <v>37</v>
      </c>
      <c r="D523" s="0" t="n">
        <v>17.26</v>
      </c>
    </row>
    <row r="524" customFormat="false" ht="15" hidden="false" customHeight="false" outlineLevel="0" collapsed="false">
      <c r="A524" s="0" t="s">
        <v>26</v>
      </c>
      <c r="B524" s="0" t="n">
        <v>0.3</v>
      </c>
      <c r="C524" s="0" t="s">
        <v>38</v>
      </c>
      <c r="D524" s="0" t="n">
        <v>32.41</v>
      </c>
    </row>
    <row r="525" customFormat="false" ht="15" hidden="false" customHeight="false" outlineLevel="0" collapsed="false">
      <c r="A525" s="0" t="s">
        <v>26</v>
      </c>
      <c r="B525" s="0" t="n">
        <v>0.3</v>
      </c>
      <c r="C525" s="0" t="s">
        <v>38</v>
      </c>
      <c r="D525" s="0" t="n">
        <v>26.91</v>
      </c>
    </row>
    <row r="526" customFormat="false" ht="15" hidden="false" customHeight="false" outlineLevel="0" collapsed="false">
      <c r="A526" s="0" t="s">
        <v>26</v>
      </c>
      <c r="B526" s="0" t="n">
        <v>0.3</v>
      </c>
      <c r="C526" s="0" t="s">
        <v>38</v>
      </c>
      <c r="D526" s="0" t="n">
        <v>24.68</v>
      </c>
    </row>
    <row r="527" customFormat="false" ht="15" hidden="false" customHeight="false" outlineLevel="0" collapsed="false">
      <c r="A527" s="0" t="s">
        <v>26</v>
      </c>
      <c r="B527" s="0" t="n">
        <v>0.3</v>
      </c>
      <c r="C527" s="0" t="s">
        <v>39</v>
      </c>
      <c r="D527" s="0" t="n">
        <v>15.42</v>
      </c>
    </row>
    <row r="528" customFormat="false" ht="15" hidden="false" customHeight="false" outlineLevel="0" collapsed="false">
      <c r="A528" s="0" t="s">
        <v>26</v>
      </c>
      <c r="B528" s="0" t="n">
        <v>0.3</v>
      </c>
      <c r="C528" s="0" t="s">
        <v>39</v>
      </c>
      <c r="D528" s="0" t="n">
        <v>33.85</v>
      </c>
    </row>
    <row r="529" customFormat="false" ht="15" hidden="false" customHeight="false" outlineLevel="0" collapsed="false">
      <c r="A529" s="0" t="s">
        <v>26</v>
      </c>
      <c r="B529" s="0" t="n">
        <v>0.3</v>
      </c>
      <c r="C529" s="0" t="s">
        <v>40</v>
      </c>
      <c r="D529" s="0" t="n">
        <v>57.44</v>
      </c>
    </row>
    <row r="530" customFormat="false" ht="15" hidden="false" customHeight="false" outlineLevel="0" collapsed="false">
      <c r="A530" s="0" t="s">
        <v>26</v>
      </c>
      <c r="B530" s="0" t="n">
        <v>0.3</v>
      </c>
      <c r="C530" s="0" t="s">
        <v>40</v>
      </c>
      <c r="D530" s="0" t="n">
        <v>43.63</v>
      </c>
    </row>
    <row r="531" customFormat="false" ht="15" hidden="false" customHeight="false" outlineLevel="0" collapsed="false">
      <c r="A531" s="0" t="s">
        <v>26</v>
      </c>
      <c r="B531" s="0" t="n">
        <v>0.3</v>
      </c>
      <c r="C531" s="0" t="s">
        <v>40</v>
      </c>
      <c r="D531" s="0" t="n">
        <v>54.71</v>
      </c>
    </row>
    <row r="532" customFormat="false" ht="15" hidden="false" customHeight="false" outlineLevel="0" collapsed="false">
      <c r="A532" s="0" t="s">
        <v>26</v>
      </c>
      <c r="B532" s="0" t="n">
        <v>0.3</v>
      </c>
      <c r="C532" s="0" t="s">
        <v>41</v>
      </c>
      <c r="D532" s="0" t="n">
        <v>45.23</v>
      </c>
    </row>
    <row r="533" customFormat="false" ht="15" hidden="false" customHeight="false" outlineLevel="0" collapsed="false">
      <c r="A533" s="0" t="s">
        <v>26</v>
      </c>
      <c r="B533" s="0" t="n">
        <v>0.3</v>
      </c>
      <c r="C533" s="0" t="s">
        <v>41</v>
      </c>
      <c r="D533" s="0" t="n">
        <v>94.85</v>
      </c>
    </row>
    <row r="534" customFormat="false" ht="15" hidden="false" customHeight="false" outlineLevel="0" collapsed="false">
      <c r="A534" s="0" t="s">
        <v>26</v>
      </c>
      <c r="B534" s="0" t="n">
        <v>0.3</v>
      </c>
      <c r="C534" s="0" t="s">
        <v>41</v>
      </c>
      <c r="D534" s="0" t="n">
        <v>39.34</v>
      </c>
    </row>
    <row r="535" customFormat="false" ht="15" hidden="false" customHeight="false" outlineLevel="0" collapsed="false">
      <c r="A535" s="0" t="s">
        <v>26</v>
      </c>
      <c r="B535" s="0" t="n">
        <v>0.4</v>
      </c>
      <c r="C535" s="0" t="s">
        <v>33</v>
      </c>
      <c r="D535" s="0" t="n">
        <v>13.75</v>
      </c>
    </row>
    <row r="536" customFormat="false" ht="15" hidden="false" customHeight="false" outlineLevel="0" collapsed="false">
      <c r="A536" s="0" t="s">
        <v>26</v>
      </c>
      <c r="B536" s="0" t="n">
        <v>0.4</v>
      </c>
      <c r="C536" s="0" t="s">
        <v>33</v>
      </c>
      <c r="D536" s="0" t="n">
        <v>28.24</v>
      </c>
    </row>
    <row r="537" customFormat="false" ht="15" hidden="false" customHeight="false" outlineLevel="0" collapsed="false">
      <c r="A537" s="0" t="s">
        <v>26</v>
      </c>
      <c r="B537" s="0" t="n">
        <v>0.4</v>
      </c>
      <c r="C537" s="0" t="s">
        <v>33</v>
      </c>
      <c r="D537" s="0" t="n">
        <v>40.28</v>
      </c>
    </row>
    <row r="538" customFormat="false" ht="15" hidden="false" customHeight="false" outlineLevel="0" collapsed="false">
      <c r="A538" s="0" t="s">
        <v>26</v>
      </c>
      <c r="B538" s="0" t="n">
        <v>0.4</v>
      </c>
      <c r="C538" s="0" t="s">
        <v>34</v>
      </c>
      <c r="D538" s="0" t="n">
        <v>38.96</v>
      </c>
    </row>
    <row r="539" customFormat="false" ht="15" hidden="false" customHeight="false" outlineLevel="0" collapsed="false">
      <c r="A539" s="0" t="s">
        <v>26</v>
      </c>
      <c r="B539" s="0" t="n">
        <v>0.4</v>
      </c>
      <c r="C539" s="0" t="s">
        <v>34</v>
      </c>
      <c r="D539" s="0" t="n">
        <v>41.26</v>
      </c>
    </row>
    <row r="540" customFormat="false" ht="15" hidden="false" customHeight="false" outlineLevel="0" collapsed="false">
      <c r="A540" s="0" t="s">
        <v>26</v>
      </c>
      <c r="B540" s="0" t="n">
        <v>0.4</v>
      </c>
      <c r="C540" s="0" t="s">
        <v>35</v>
      </c>
      <c r="D540" s="0" t="n">
        <v>30.82</v>
      </c>
    </row>
    <row r="541" customFormat="false" ht="15" hidden="false" customHeight="false" outlineLevel="0" collapsed="false">
      <c r="A541" s="0" t="s">
        <v>26</v>
      </c>
      <c r="B541" s="0" t="n">
        <v>0.4</v>
      </c>
      <c r="C541" s="0" t="s">
        <v>35</v>
      </c>
      <c r="D541" s="0" t="n">
        <v>39.1</v>
      </c>
    </row>
    <row r="542" customFormat="false" ht="15" hidden="false" customHeight="false" outlineLevel="0" collapsed="false">
      <c r="A542" s="0" t="s">
        <v>26</v>
      </c>
      <c r="B542" s="0" t="n">
        <v>0.4</v>
      </c>
      <c r="C542" s="0" t="s">
        <v>36</v>
      </c>
      <c r="D542" s="0" t="n">
        <v>34.78</v>
      </c>
    </row>
    <row r="543" customFormat="false" ht="15" hidden="false" customHeight="false" outlineLevel="0" collapsed="false">
      <c r="A543" s="0" t="s">
        <v>26</v>
      </c>
      <c r="B543" s="0" t="n">
        <v>0.4</v>
      </c>
      <c r="C543" s="0" t="s">
        <v>36</v>
      </c>
      <c r="D543" s="0" t="n">
        <v>26.98</v>
      </c>
    </row>
    <row r="544" customFormat="false" ht="15" hidden="false" customHeight="false" outlineLevel="0" collapsed="false">
      <c r="A544" s="0" t="s">
        <v>26</v>
      </c>
      <c r="B544" s="0" t="n">
        <v>0.4</v>
      </c>
      <c r="C544" s="0" t="s">
        <v>37</v>
      </c>
      <c r="D544" s="0" t="n">
        <v>27.73</v>
      </c>
    </row>
    <row r="545" customFormat="false" ht="15" hidden="false" customHeight="false" outlineLevel="0" collapsed="false">
      <c r="A545" s="0" t="s">
        <v>26</v>
      </c>
      <c r="B545" s="0" t="n">
        <v>0.4</v>
      </c>
      <c r="C545" s="0" t="s">
        <v>37</v>
      </c>
      <c r="D545" s="0" t="n">
        <v>17.1</v>
      </c>
    </row>
    <row r="546" customFormat="false" ht="15" hidden="false" customHeight="false" outlineLevel="0" collapsed="false">
      <c r="A546" s="0" t="s">
        <v>26</v>
      </c>
      <c r="B546" s="0" t="n">
        <v>0.4</v>
      </c>
      <c r="C546" s="0" t="s">
        <v>37</v>
      </c>
      <c r="D546" s="0" t="n">
        <v>32.12</v>
      </c>
    </row>
    <row r="547" customFormat="false" ht="15" hidden="false" customHeight="false" outlineLevel="0" collapsed="false">
      <c r="A547" s="0" t="s">
        <v>26</v>
      </c>
      <c r="B547" s="0" t="n">
        <v>0.4</v>
      </c>
      <c r="C547" s="0" t="s">
        <v>38</v>
      </c>
      <c r="D547" s="0" t="n">
        <v>18.05</v>
      </c>
    </row>
    <row r="548" customFormat="false" ht="15" hidden="false" customHeight="false" outlineLevel="0" collapsed="false">
      <c r="A548" s="0" t="s">
        <v>26</v>
      </c>
      <c r="B548" s="0" t="n">
        <v>0.4</v>
      </c>
      <c r="C548" s="0" t="s">
        <v>38</v>
      </c>
      <c r="D548" s="0" t="n">
        <v>19.1</v>
      </c>
    </row>
    <row r="549" customFormat="false" ht="15" hidden="false" customHeight="false" outlineLevel="0" collapsed="false">
      <c r="A549" s="0" t="s">
        <v>26</v>
      </c>
      <c r="B549" s="0" t="n">
        <v>0.4</v>
      </c>
      <c r="C549" s="0" t="s">
        <v>38</v>
      </c>
      <c r="D549" s="0" t="n">
        <v>23.95</v>
      </c>
    </row>
    <row r="550" customFormat="false" ht="15" hidden="false" customHeight="false" outlineLevel="0" collapsed="false">
      <c r="A550" s="0" t="s">
        <v>26</v>
      </c>
      <c r="B550" s="0" t="n">
        <v>0.4</v>
      </c>
      <c r="C550" s="0" t="s">
        <v>39</v>
      </c>
      <c r="D550" s="0" t="n">
        <v>32.05</v>
      </c>
    </row>
    <row r="551" customFormat="false" ht="15" hidden="false" customHeight="false" outlineLevel="0" collapsed="false">
      <c r="A551" s="0" t="s">
        <v>26</v>
      </c>
      <c r="B551" s="0" t="n">
        <v>0.4</v>
      </c>
      <c r="C551" s="0" t="s">
        <v>39</v>
      </c>
      <c r="D551" s="0" t="n">
        <v>31.49</v>
      </c>
    </row>
    <row r="552" customFormat="false" ht="15" hidden="false" customHeight="false" outlineLevel="0" collapsed="false">
      <c r="A552" s="0" t="s">
        <v>26</v>
      </c>
      <c r="B552" s="0" t="n">
        <v>0.4</v>
      </c>
      <c r="C552" s="0" t="s">
        <v>40</v>
      </c>
      <c r="D552" s="0" t="n">
        <v>49.18</v>
      </c>
    </row>
    <row r="553" customFormat="false" ht="15" hidden="false" customHeight="false" outlineLevel="0" collapsed="false">
      <c r="A553" s="0" t="s">
        <v>26</v>
      </c>
      <c r="B553" s="0" t="n">
        <v>0.4</v>
      </c>
      <c r="C553" s="0" t="s">
        <v>40</v>
      </c>
      <c r="D553" s="0" t="n">
        <v>44.5</v>
      </c>
    </row>
    <row r="554" customFormat="false" ht="15" hidden="false" customHeight="false" outlineLevel="0" collapsed="false">
      <c r="A554" s="0" t="s">
        <v>26</v>
      </c>
      <c r="B554" s="0" t="n">
        <v>0.4</v>
      </c>
      <c r="C554" s="0" t="s">
        <v>40</v>
      </c>
      <c r="D554" s="0" t="n">
        <v>56.68</v>
      </c>
    </row>
    <row r="555" customFormat="false" ht="15" hidden="false" customHeight="false" outlineLevel="0" collapsed="false">
      <c r="A555" s="0" t="s">
        <v>26</v>
      </c>
      <c r="B555" s="0" t="n">
        <v>0.4</v>
      </c>
      <c r="C555" s="0" t="s">
        <v>41</v>
      </c>
      <c r="D555" s="0" t="n">
        <v>107.34</v>
      </c>
    </row>
    <row r="556" customFormat="false" ht="15" hidden="false" customHeight="false" outlineLevel="0" collapsed="false">
      <c r="A556" s="0" t="s">
        <v>26</v>
      </c>
      <c r="B556" s="0" t="n">
        <v>0.4</v>
      </c>
      <c r="C556" s="0" t="s">
        <v>41</v>
      </c>
      <c r="D556" s="0" t="n">
        <v>83.8</v>
      </c>
    </row>
    <row r="557" customFormat="false" ht="15" hidden="false" customHeight="false" outlineLevel="0" collapsed="false">
      <c r="A557" s="0" t="s">
        <v>26</v>
      </c>
      <c r="B557" s="0" t="n">
        <v>0.5</v>
      </c>
      <c r="C557" s="0" t="s">
        <v>33</v>
      </c>
      <c r="D557" s="0" t="n">
        <v>36.52</v>
      </c>
    </row>
    <row r="558" customFormat="false" ht="15" hidden="false" customHeight="false" outlineLevel="0" collapsed="false">
      <c r="A558" s="0" t="s">
        <v>26</v>
      </c>
      <c r="B558" s="0" t="n">
        <v>0.5</v>
      </c>
      <c r="C558" s="0" t="s">
        <v>34</v>
      </c>
      <c r="D558" s="0" t="n">
        <v>45.32</v>
      </c>
    </row>
    <row r="559" customFormat="false" ht="15" hidden="false" customHeight="false" outlineLevel="0" collapsed="false">
      <c r="A559" s="0" t="s">
        <v>26</v>
      </c>
      <c r="B559" s="0" t="n">
        <v>0.5</v>
      </c>
      <c r="C559" s="0" t="s">
        <v>35</v>
      </c>
      <c r="D559" s="0" t="n">
        <v>34.65</v>
      </c>
    </row>
    <row r="560" customFormat="false" ht="15" hidden="false" customHeight="false" outlineLevel="0" collapsed="false">
      <c r="A560" s="0" t="s">
        <v>26</v>
      </c>
      <c r="B560" s="0" t="n">
        <v>0.5</v>
      </c>
      <c r="C560" s="0" t="s">
        <v>36</v>
      </c>
      <c r="D560" s="0" t="n">
        <v>26.24</v>
      </c>
    </row>
    <row r="561" customFormat="false" ht="15" hidden="false" customHeight="false" outlineLevel="0" collapsed="false">
      <c r="A561" s="0" t="s">
        <v>26</v>
      </c>
      <c r="B561" s="0" t="n">
        <v>0.5</v>
      </c>
      <c r="C561" s="0" t="s">
        <v>37</v>
      </c>
      <c r="D561" s="0" t="n">
        <v>38.09</v>
      </c>
    </row>
    <row r="562" customFormat="false" ht="15" hidden="false" customHeight="false" outlineLevel="0" collapsed="false">
      <c r="A562" s="0" t="s">
        <v>26</v>
      </c>
      <c r="B562" s="0" t="n">
        <v>0.5</v>
      </c>
      <c r="C562" s="0" t="s">
        <v>38</v>
      </c>
      <c r="D562" s="0" t="n">
        <v>17.87</v>
      </c>
    </row>
    <row r="563" customFormat="false" ht="15" hidden="false" customHeight="false" outlineLevel="0" collapsed="false">
      <c r="A563" s="0" t="s">
        <v>26</v>
      </c>
      <c r="B563" s="0" t="n">
        <v>0.5</v>
      </c>
      <c r="C563" s="0" t="s">
        <v>39</v>
      </c>
      <c r="D563" s="0" t="n">
        <v>28.9</v>
      </c>
    </row>
    <row r="564" customFormat="false" ht="15" hidden="false" customHeight="false" outlineLevel="0" collapsed="false">
      <c r="A564" s="0" t="s">
        <v>26</v>
      </c>
      <c r="B564" s="0" t="n">
        <v>0.5</v>
      </c>
      <c r="C564" s="0" t="s">
        <v>40</v>
      </c>
      <c r="D564" s="0" t="n">
        <v>35.88</v>
      </c>
    </row>
    <row r="565" customFormat="false" ht="15" hidden="false" customHeight="false" outlineLevel="0" collapsed="false">
      <c r="A565" s="0" t="s">
        <v>26</v>
      </c>
      <c r="B565" s="0" t="n">
        <v>0.5</v>
      </c>
      <c r="C565" s="0" t="s">
        <v>41</v>
      </c>
      <c r="D565" s="0" t="n">
        <v>52.82</v>
      </c>
    </row>
    <row r="566" customFormat="false" ht="15" hidden="false" customHeight="false" outlineLevel="0" collapsed="false">
      <c r="A566" s="0" t="s">
        <v>27</v>
      </c>
      <c r="B566" s="0" t="n">
        <v>0.3</v>
      </c>
      <c r="C566" s="0" t="s">
        <v>33</v>
      </c>
      <c r="D566" s="0" t="n">
        <v>33.27</v>
      </c>
    </row>
    <row r="567" customFormat="false" ht="15" hidden="false" customHeight="false" outlineLevel="0" collapsed="false">
      <c r="A567" s="0" t="s">
        <v>27</v>
      </c>
      <c r="B567" s="0" t="n">
        <v>0.3</v>
      </c>
      <c r="C567" s="0" t="s">
        <v>33</v>
      </c>
      <c r="D567" s="0" t="n">
        <v>23.51</v>
      </c>
    </row>
    <row r="568" customFormat="false" ht="15" hidden="false" customHeight="false" outlineLevel="0" collapsed="false">
      <c r="A568" s="0" t="s">
        <v>27</v>
      </c>
      <c r="B568" s="0" t="n">
        <v>0.3</v>
      </c>
      <c r="C568" s="0" t="s">
        <v>33</v>
      </c>
      <c r="D568" s="0" t="n">
        <v>14.04</v>
      </c>
    </row>
    <row r="569" customFormat="false" ht="15" hidden="false" customHeight="false" outlineLevel="0" collapsed="false">
      <c r="A569" s="0" t="s">
        <v>27</v>
      </c>
      <c r="B569" s="0" t="n">
        <v>0.3</v>
      </c>
      <c r="C569" s="0" t="s">
        <v>34</v>
      </c>
      <c r="D569" s="0" t="n">
        <v>41.83</v>
      </c>
    </row>
    <row r="570" customFormat="false" ht="15" hidden="false" customHeight="false" outlineLevel="0" collapsed="false">
      <c r="A570" s="0" t="s">
        <v>27</v>
      </c>
      <c r="B570" s="0" t="n">
        <v>0.3</v>
      </c>
      <c r="C570" s="0" t="s">
        <v>34</v>
      </c>
      <c r="D570" s="0" t="n">
        <v>33.33</v>
      </c>
    </row>
    <row r="571" customFormat="false" ht="15" hidden="false" customHeight="false" outlineLevel="0" collapsed="false">
      <c r="A571" s="0" t="s">
        <v>27</v>
      </c>
      <c r="B571" s="0" t="n">
        <v>0.3</v>
      </c>
      <c r="C571" s="0" t="s">
        <v>34</v>
      </c>
      <c r="D571" s="0" t="n">
        <v>51</v>
      </c>
    </row>
    <row r="572" customFormat="false" ht="15" hidden="false" customHeight="false" outlineLevel="0" collapsed="false">
      <c r="A572" s="0" t="s">
        <v>27</v>
      </c>
      <c r="B572" s="0" t="n">
        <v>0.3</v>
      </c>
      <c r="C572" s="0" t="s">
        <v>35</v>
      </c>
      <c r="D572" s="0" t="n">
        <v>43.9</v>
      </c>
    </row>
    <row r="573" customFormat="false" ht="15" hidden="false" customHeight="false" outlineLevel="0" collapsed="false">
      <c r="A573" s="0" t="s">
        <v>27</v>
      </c>
      <c r="B573" s="0" t="n">
        <v>0.3</v>
      </c>
      <c r="C573" s="0" t="s">
        <v>35</v>
      </c>
      <c r="D573" s="0" t="n">
        <v>27.06</v>
      </c>
    </row>
    <row r="574" customFormat="false" ht="15" hidden="false" customHeight="false" outlineLevel="0" collapsed="false">
      <c r="A574" s="0" t="s">
        <v>27</v>
      </c>
      <c r="B574" s="0" t="n">
        <v>0.3</v>
      </c>
      <c r="C574" s="0" t="s">
        <v>35</v>
      </c>
      <c r="D574" s="0" t="n">
        <v>34.56</v>
      </c>
    </row>
    <row r="575" customFormat="false" ht="15" hidden="false" customHeight="false" outlineLevel="0" collapsed="false">
      <c r="A575" s="0" t="s">
        <v>27</v>
      </c>
      <c r="B575" s="0" t="n">
        <v>0.3</v>
      </c>
      <c r="C575" s="0" t="s">
        <v>36</v>
      </c>
      <c r="D575" s="0" t="n">
        <v>27.58</v>
      </c>
    </row>
    <row r="576" customFormat="false" ht="15" hidden="false" customHeight="false" outlineLevel="0" collapsed="false">
      <c r="A576" s="0" t="s">
        <v>27</v>
      </c>
      <c r="B576" s="0" t="n">
        <v>0.3</v>
      </c>
      <c r="C576" s="0" t="s">
        <v>36</v>
      </c>
      <c r="D576" s="0" t="n">
        <v>34.39</v>
      </c>
    </row>
    <row r="577" customFormat="false" ht="15" hidden="false" customHeight="false" outlineLevel="0" collapsed="false">
      <c r="A577" s="0" t="s">
        <v>27</v>
      </c>
      <c r="B577" s="0" t="n">
        <v>0.3</v>
      </c>
      <c r="C577" s="0" t="s">
        <v>36</v>
      </c>
      <c r="D577" s="0" t="n">
        <v>25.99</v>
      </c>
    </row>
    <row r="578" customFormat="false" ht="15" hidden="false" customHeight="false" outlineLevel="0" collapsed="false">
      <c r="A578" s="0" t="s">
        <v>27</v>
      </c>
      <c r="B578" s="0" t="n">
        <v>0.3</v>
      </c>
      <c r="C578" s="0" t="s">
        <v>37</v>
      </c>
      <c r="D578" s="0" t="n">
        <v>35.78</v>
      </c>
    </row>
    <row r="579" customFormat="false" ht="15" hidden="false" customHeight="false" outlineLevel="0" collapsed="false">
      <c r="A579" s="0" t="s">
        <v>27</v>
      </c>
      <c r="B579" s="0" t="n">
        <v>0.3</v>
      </c>
      <c r="C579" s="0" t="s">
        <v>37</v>
      </c>
      <c r="D579" s="0" t="n">
        <v>23.33</v>
      </c>
    </row>
    <row r="580" customFormat="false" ht="15" hidden="false" customHeight="false" outlineLevel="0" collapsed="false">
      <c r="A580" s="0" t="s">
        <v>27</v>
      </c>
      <c r="B580" s="0" t="n">
        <v>0.3</v>
      </c>
      <c r="C580" s="0" t="s">
        <v>37</v>
      </c>
      <c r="D580" s="0" t="n">
        <v>33.83</v>
      </c>
    </row>
    <row r="581" customFormat="false" ht="15" hidden="false" customHeight="false" outlineLevel="0" collapsed="false">
      <c r="A581" s="0" t="s">
        <v>27</v>
      </c>
      <c r="B581" s="0" t="n">
        <v>0.3</v>
      </c>
      <c r="C581" s="0" t="s">
        <v>38</v>
      </c>
      <c r="D581" s="0" t="n">
        <v>26.37</v>
      </c>
    </row>
    <row r="582" customFormat="false" ht="15" hidden="false" customHeight="false" outlineLevel="0" collapsed="false">
      <c r="A582" s="0" t="s">
        <v>27</v>
      </c>
      <c r="B582" s="0" t="n">
        <v>0.3</v>
      </c>
      <c r="C582" s="0" t="s">
        <v>38</v>
      </c>
      <c r="D582" s="0" t="n">
        <v>42.08</v>
      </c>
    </row>
    <row r="583" customFormat="false" ht="15" hidden="false" customHeight="false" outlineLevel="0" collapsed="false">
      <c r="A583" s="0" t="s">
        <v>27</v>
      </c>
      <c r="B583" s="0" t="n">
        <v>0.3</v>
      </c>
      <c r="C583" s="0" t="s">
        <v>38</v>
      </c>
      <c r="D583" s="0" t="n">
        <v>44.53</v>
      </c>
    </row>
    <row r="584" customFormat="false" ht="15" hidden="false" customHeight="false" outlineLevel="0" collapsed="false">
      <c r="A584" s="0" t="s">
        <v>27</v>
      </c>
      <c r="B584" s="0" t="n">
        <v>0.3</v>
      </c>
      <c r="C584" s="0" t="s">
        <v>39</v>
      </c>
      <c r="D584" s="0" t="n">
        <v>8.1</v>
      </c>
    </row>
    <row r="585" customFormat="false" ht="15" hidden="false" customHeight="false" outlineLevel="0" collapsed="false">
      <c r="A585" s="0" t="s">
        <v>27</v>
      </c>
      <c r="B585" s="0" t="n">
        <v>0.3</v>
      </c>
      <c r="C585" s="0" t="s">
        <v>39</v>
      </c>
      <c r="D585" s="0" t="n">
        <v>5.32</v>
      </c>
    </row>
    <row r="586" customFormat="false" ht="15" hidden="false" customHeight="false" outlineLevel="0" collapsed="false">
      <c r="A586" s="0" t="s">
        <v>27</v>
      </c>
      <c r="B586" s="0" t="n">
        <v>0.3</v>
      </c>
      <c r="C586" s="0" t="s">
        <v>39</v>
      </c>
      <c r="D586" s="0" t="n">
        <v>-3.54</v>
      </c>
    </row>
    <row r="587" customFormat="false" ht="15" hidden="false" customHeight="false" outlineLevel="0" collapsed="false">
      <c r="A587" s="0" t="s">
        <v>27</v>
      </c>
      <c r="B587" s="0" t="n">
        <v>0.3</v>
      </c>
      <c r="C587" s="0" t="s">
        <v>40</v>
      </c>
      <c r="D587" s="0" t="n">
        <v>71.54</v>
      </c>
    </row>
    <row r="588" customFormat="false" ht="15" hidden="false" customHeight="false" outlineLevel="0" collapsed="false">
      <c r="A588" s="0" t="s">
        <v>27</v>
      </c>
      <c r="B588" s="0" t="n">
        <v>0.3</v>
      </c>
      <c r="C588" s="0" t="s">
        <v>40</v>
      </c>
      <c r="D588" s="0" t="n">
        <v>47.64</v>
      </c>
    </row>
    <row r="589" customFormat="false" ht="15" hidden="false" customHeight="false" outlineLevel="0" collapsed="false">
      <c r="A589" s="0" t="s">
        <v>27</v>
      </c>
      <c r="B589" s="0" t="n">
        <v>0.3</v>
      </c>
      <c r="C589" s="0" t="s">
        <v>40</v>
      </c>
      <c r="D589" s="0" t="n">
        <v>43.23</v>
      </c>
    </row>
    <row r="590" customFormat="false" ht="15" hidden="false" customHeight="false" outlineLevel="0" collapsed="false">
      <c r="A590" s="0" t="s">
        <v>27</v>
      </c>
      <c r="B590" s="0" t="n">
        <v>0.3</v>
      </c>
      <c r="C590" s="0" t="s">
        <v>41</v>
      </c>
      <c r="D590" s="0" t="n">
        <v>31.3</v>
      </c>
    </row>
    <row r="591" customFormat="false" ht="15" hidden="false" customHeight="false" outlineLevel="0" collapsed="false">
      <c r="A591" s="0" t="s">
        <v>27</v>
      </c>
      <c r="B591" s="0" t="n">
        <v>0.3</v>
      </c>
      <c r="C591" s="0" t="s">
        <v>41</v>
      </c>
      <c r="D591" s="0" t="n">
        <v>56.74</v>
      </c>
    </row>
    <row r="592" customFormat="false" ht="15" hidden="false" customHeight="false" outlineLevel="0" collapsed="false">
      <c r="A592" s="0" t="s">
        <v>27</v>
      </c>
      <c r="B592" s="0" t="n">
        <v>0.3</v>
      </c>
      <c r="C592" s="0" t="s">
        <v>41</v>
      </c>
      <c r="D592" s="0" t="n">
        <v>11.2</v>
      </c>
    </row>
    <row r="593" customFormat="false" ht="15" hidden="false" customHeight="false" outlineLevel="0" collapsed="false">
      <c r="A593" s="0" t="s">
        <v>27</v>
      </c>
      <c r="B593" s="0" t="n">
        <v>0.4</v>
      </c>
      <c r="C593" s="0" t="s">
        <v>33</v>
      </c>
      <c r="D593" s="0" t="n">
        <v>27.32</v>
      </c>
    </row>
    <row r="594" customFormat="false" ht="15" hidden="false" customHeight="false" outlineLevel="0" collapsed="false">
      <c r="A594" s="0" t="s">
        <v>27</v>
      </c>
      <c r="B594" s="0" t="n">
        <v>0.4</v>
      </c>
      <c r="C594" s="0" t="s">
        <v>33</v>
      </c>
      <c r="D594" s="0" t="n">
        <v>42.94</v>
      </c>
    </row>
    <row r="595" customFormat="false" ht="15" hidden="false" customHeight="false" outlineLevel="0" collapsed="false">
      <c r="A595" s="0" t="s">
        <v>27</v>
      </c>
      <c r="B595" s="0" t="n">
        <v>0.4</v>
      </c>
      <c r="C595" s="0" t="s">
        <v>33</v>
      </c>
      <c r="D595" s="0" t="n">
        <v>20.23</v>
      </c>
    </row>
    <row r="596" customFormat="false" ht="15" hidden="false" customHeight="false" outlineLevel="0" collapsed="false">
      <c r="A596" s="0" t="s">
        <v>27</v>
      </c>
      <c r="B596" s="0" t="n">
        <v>0.4</v>
      </c>
      <c r="C596" s="0" t="s">
        <v>34</v>
      </c>
      <c r="D596" s="0" t="n">
        <v>37.28</v>
      </c>
    </row>
    <row r="597" customFormat="false" ht="15" hidden="false" customHeight="false" outlineLevel="0" collapsed="false">
      <c r="A597" s="0" t="s">
        <v>27</v>
      </c>
      <c r="B597" s="0" t="n">
        <v>0.4</v>
      </c>
      <c r="C597" s="0" t="s">
        <v>34</v>
      </c>
      <c r="D597" s="0" t="n">
        <v>38.37</v>
      </c>
    </row>
    <row r="598" customFormat="false" ht="15" hidden="false" customHeight="false" outlineLevel="0" collapsed="false">
      <c r="A598" s="0" t="s">
        <v>27</v>
      </c>
      <c r="B598" s="0" t="n">
        <v>0.4</v>
      </c>
      <c r="C598" s="0" t="s">
        <v>34</v>
      </c>
      <c r="D598" s="0" t="n">
        <v>34.92</v>
      </c>
    </row>
    <row r="599" customFormat="false" ht="15" hidden="false" customHeight="false" outlineLevel="0" collapsed="false">
      <c r="A599" s="0" t="s">
        <v>27</v>
      </c>
      <c r="B599" s="0" t="n">
        <v>0.4</v>
      </c>
      <c r="C599" s="0" t="s">
        <v>35</v>
      </c>
      <c r="D599" s="0" t="n">
        <v>20.64</v>
      </c>
    </row>
    <row r="600" customFormat="false" ht="15" hidden="false" customHeight="false" outlineLevel="0" collapsed="false">
      <c r="A600" s="0" t="s">
        <v>27</v>
      </c>
      <c r="B600" s="0" t="n">
        <v>0.4</v>
      </c>
      <c r="C600" s="0" t="s">
        <v>35</v>
      </c>
      <c r="D600" s="0" t="n">
        <v>32.14</v>
      </c>
    </row>
    <row r="601" customFormat="false" ht="15" hidden="false" customHeight="false" outlineLevel="0" collapsed="false">
      <c r="A601" s="0" t="s">
        <v>27</v>
      </c>
      <c r="B601" s="0" t="n">
        <v>0.4</v>
      </c>
      <c r="C601" s="0" t="s">
        <v>35</v>
      </c>
      <c r="D601" s="0" t="n">
        <v>36.16</v>
      </c>
    </row>
    <row r="602" customFormat="false" ht="15" hidden="false" customHeight="false" outlineLevel="0" collapsed="false">
      <c r="A602" s="0" t="s">
        <v>27</v>
      </c>
      <c r="B602" s="0" t="n">
        <v>0.4</v>
      </c>
      <c r="C602" s="0" t="s">
        <v>36</v>
      </c>
      <c r="D602" s="0" t="n">
        <v>27</v>
      </c>
    </row>
    <row r="603" customFormat="false" ht="15" hidden="false" customHeight="false" outlineLevel="0" collapsed="false">
      <c r="A603" s="0" t="s">
        <v>27</v>
      </c>
      <c r="B603" s="0" t="n">
        <v>0.4</v>
      </c>
      <c r="C603" s="0" t="s">
        <v>36</v>
      </c>
      <c r="D603" s="0" t="n">
        <v>35.53</v>
      </c>
    </row>
    <row r="604" customFormat="false" ht="15" hidden="false" customHeight="false" outlineLevel="0" collapsed="false">
      <c r="A604" s="0" t="s">
        <v>27</v>
      </c>
      <c r="B604" s="0" t="n">
        <v>0.4</v>
      </c>
      <c r="C604" s="0" t="s">
        <v>36</v>
      </c>
      <c r="D604" s="0" t="n">
        <v>31.18</v>
      </c>
    </row>
    <row r="605" customFormat="false" ht="15" hidden="false" customHeight="false" outlineLevel="0" collapsed="false">
      <c r="A605" s="0" t="s">
        <v>27</v>
      </c>
      <c r="B605" s="0" t="n">
        <v>0.4</v>
      </c>
      <c r="C605" s="0" t="s">
        <v>37</v>
      </c>
      <c r="D605" s="0" t="n">
        <v>29.64</v>
      </c>
    </row>
    <row r="606" customFormat="false" ht="15" hidden="false" customHeight="false" outlineLevel="0" collapsed="false">
      <c r="A606" s="0" t="s">
        <v>27</v>
      </c>
      <c r="B606" s="0" t="n">
        <v>0.4</v>
      </c>
      <c r="C606" s="0" t="s">
        <v>37</v>
      </c>
      <c r="D606" s="0" t="n">
        <v>33.24</v>
      </c>
    </row>
    <row r="607" customFormat="false" ht="15" hidden="false" customHeight="false" outlineLevel="0" collapsed="false">
      <c r="A607" s="0" t="s">
        <v>27</v>
      </c>
      <c r="B607" s="0" t="n">
        <v>0.4</v>
      </c>
      <c r="C607" s="0" t="s">
        <v>37</v>
      </c>
      <c r="D607" s="0" t="n">
        <v>35.75</v>
      </c>
    </row>
    <row r="608" customFormat="false" ht="15" hidden="false" customHeight="false" outlineLevel="0" collapsed="false">
      <c r="A608" s="0" t="s">
        <v>27</v>
      </c>
      <c r="B608" s="0" t="n">
        <v>0.4</v>
      </c>
      <c r="C608" s="0" t="s">
        <v>38</v>
      </c>
      <c r="D608" s="0" t="n">
        <v>20.7</v>
      </c>
    </row>
    <row r="609" customFormat="false" ht="15" hidden="false" customHeight="false" outlineLevel="0" collapsed="false">
      <c r="A609" s="0" t="s">
        <v>27</v>
      </c>
      <c r="B609" s="0" t="n">
        <v>0.4</v>
      </c>
      <c r="C609" s="0" t="s">
        <v>38</v>
      </c>
      <c r="D609" s="0" t="n">
        <v>41.82</v>
      </c>
    </row>
    <row r="610" customFormat="false" ht="15" hidden="false" customHeight="false" outlineLevel="0" collapsed="false">
      <c r="A610" s="0" t="s">
        <v>27</v>
      </c>
      <c r="B610" s="0" t="n">
        <v>0.4</v>
      </c>
      <c r="C610" s="0" t="s">
        <v>38</v>
      </c>
      <c r="D610" s="0" t="n">
        <v>27.3</v>
      </c>
    </row>
    <row r="611" customFormat="false" ht="15" hidden="false" customHeight="false" outlineLevel="0" collapsed="false">
      <c r="A611" s="0" t="s">
        <v>27</v>
      </c>
      <c r="B611" s="0" t="n">
        <v>0.4</v>
      </c>
      <c r="C611" s="0" t="s">
        <v>39</v>
      </c>
      <c r="D611" s="0" t="n">
        <v>24.38</v>
      </c>
    </row>
    <row r="612" customFormat="false" ht="15" hidden="false" customHeight="false" outlineLevel="0" collapsed="false">
      <c r="A612" s="0" t="s">
        <v>27</v>
      </c>
      <c r="B612" s="0" t="n">
        <v>0.4</v>
      </c>
      <c r="C612" s="0" t="s">
        <v>39</v>
      </c>
      <c r="D612" s="0" t="n">
        <v>23.41</v>
      </c>
    </row>
    <row r="613" customFormat="false" ht="15" hidden="false" customHeight="false" outlineLevel="0" collapsed="false">
      <c r="A613" s="0" t="s">
        <v>27</v>
      </c>
      <c r="B613" s="0" t="n">
        <v>0.4</v>
      </c>
      <c r="C613" s="0" t="s">
        <v>39</v>
      </c>
      <c r="D613" s="0" t="n">
        <v>28.4</v>
      </c>
    </row>
    <row r="614" customFormat="false" ht="15" hidden="false" customHeight="false" outlineLevel="0" collapsed="false">
      <c r="A614" s="0" t="s">
        <v>27</v>
      </c>
      <c r="B614" s="0" t="n">
        <v>0.4</v>
      </c>
      <c r="C614" s="0" t="s">
        <v>40</v>
      </c>
      <c r="D614" s="0" t="n">
        <v>64.64</v>
      </c>
    </row>
    <row r="615" customFormat="false" ht="15" hidden="false" customHeight="false" outlineLevel="0" collapsed="false">
      <c r="A615" s="0" t="s">
        <v>27</v>
      </c>
      <c r="B615" s="0" t="n">
        <v>0.4</v>
      </c>
      <c r="C615" s="0" t="s">
        <v>40</v>
      </c>
      <c r="D615" s="0" t="n">
        <v>30.77</v>
      </c>
    </row>
    <row r="616" customFormat="false" ht="15" hidden="false" customHeight="false" outlineLevel="0" collapsed="false">
      <c r="A616" s="0" t="s">
        <v>27</v>
      </c>
      <c r="B616" s="0" t="n">
        <v>0.4</v>
      </c>
      <c r="C616" s="0" t="s">
        <v>40</v>
      </c>
      <c r="D616" s="0" t="n">
        <v>47.7</v>
      </c>
    </row>
    <row r="617" customFormat="false" ht="15" hidden="false" customHeight="false" outlineLevel="0" collapsed="false">
      <c r="A617" s="0" t="s">
        <v>27</v>
      </c>
      <c r="B617" s="0" t="n">
        <v>0.4</v>
      </c>
      <c r="C617" s="0" t="s">
        <v>41</v>
      </c>
      <c r="D617" s="0" t="n">
        <v>24.05</v>
      </c>
    </row>
    <row r="618" customFormat="false" ht="15" hidden="false" customHeight="false" outlineLevel="0" collapsed="false">
      <c r="A618" s="0" t="s">
        <v>27</v>
      </c>
      <c r="B618" s="0" t="n">
        <v>0.4</v>
      </c>
      <c r="C618" s="0" t="s">
        <v>41</v>
      </c>
      <c r="D618" s="0" t="n">
        <v>55.29</v>
      </c>
    </row>
    <row r="619" customFormat="false" ht="15" hidden="false" customHeight="false" outlineLevel="0" collapsed="false">
      <c r="A619" s="0" t="s">
        <v>27</v>
      </c>
      <c r="B619" s="0" t="n">
        <v>0.5</v>
      </c>
      <c r="C619" s="0" t="s">
        <v>33</v>
      </c>
      <c r="D619" s="0" t="n">
        <v>28.83</v>
      </c>
    </row>
    <row r="620" customFormat="false" ht="15" hidden="false" customHeight="false" outlineLevel="0" collapsed="false">
      <c r="A620" s="0" t="s">
        <v>27</v>
      </c>
      <c r="B620" s="0" t="n">
        <v>0.5</v>
      </c>
      <c r="C620" s="0" t="s">
        <v>34</v>
      </c>
      <c r="D620" s="0" t="n">
        <v>37.79</v>
      </c>
    </row>
    <row r="621" customFormat="false" ht="15" hidden="false" customHeight="false" outlineLevel="0" collapsed="false">
      <c r="A621" s="0" t="s">
        <v>27</v>
      </c>
      <c r="B621" s="0" t="n">
        <v>0.5</v>
      </c>
      <c r="C621" s="0" t="s">
        <v>35</v>
      </c>
      <c r="D621" s="0" t="n">
        <v>18.03</v>
      </c>
    </row>
    <row r="622" customFormat="false" ht="15" hidden="false" customHeight="false" outlineLevel="0" collapsed="false">
      <c r="A622" s="0" t="s">
        <v>27</v>
      </c>
      <c r="B622" s="0" t="n">
        <v>0.5</v>
      </c>
      <c r="C622" s="0" t="s">
        <v>36</v>
      </c>
      <c r="D622" s="0" t="n">
        <v>22.06</v>
      </c>
    </row>
    <row r="623" customFormat="false" ht="15" hidden="false" customHeight="false" outlineLevel="0" collapsed="false">
      <c r="A623" s="0" t="s">
        <v>27</v>
      </c>
      <c r="B623" s="0" t="n">
        <v>0.5</v>
      </c>
      <c r="C623" s="0" t="s">
        <v>37</v>
      </c>
      <c r="D623" s="0" t="n">
        <v>31.08</v>
      </c>
    </row>
    <row r="624" customFormat="false" ht="15" hidden="false" customHeight="false" outlineLevel="0" collapsed="false">
      <c r="A624" s="0" t="s">
        <v>27</v>
      </c>
      <c r="B624" s="0" t="n">
        <v>0.5</v>
      </c>
      <c r="C624" s="0" t="s">
        <v>38</v>
      </c>
      <c r="D624" s="0" t="n">
        <v>25.22</v>
      </c>
    </row>
    <row r="625" customFormat="false" ht="15" hidden="false" customHeight="false" outlineLevel="0" collapsed="false">
      <c r="A625" s="0" t="s">
        <v>27</v>
      </c>
      <c r="B625" s="0" t="n">
        <v>0.5</v>
      </c>
      <c r="C625" s="0" t="s">
        <v>39</v>
      </c>
      <c r="D625" s="0" t="n">
        <v>2.86</v>
      </c>
    </row>
    <row r="626" customFormat="false" ht="15" hidden="false" customHeight="false" outlineLevel="0" collapsed="false">
      <c r="A626" s="0" t="s">
        <v>27</v>
      </c>
      <c r="B626" s="0" t="n">
        <v>0.5</v>
      </c>
      <c r="C626" s="0" t="s">
        <v>40</v>
      </c>
      <c r="D626" s="0" t="n">
        <v>64.11</v>
      </c>
    </row>
    <row r="627" customFormat="false" ht="15" hidden="false" customHeight="false" outlineLevel="0" collapsed="false">
      <c r="A627" s="0" t="s">
        <v>27</v>
      </c>
      <c r="B627" s="0" t="n">
        <v>0.5</v>
      </c>
      <c r="C627" s="0" t="s">
        <v>41</v>
      </c>
      <c r="D627" s="0" t="n">
        <v>35.11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1" t="s">
        <v>29</v>
      </c>
      <c r="B1" s="11" t="s">
        <v>30</v>
      </c>
      <c r="C1" s="11" t="s">
        <v>31</v>
      </c>
      <c r="D1" s="11" t="s">
        <v>42</v>
      </c>
      <c r="E1" s="11" t="s">
        <v>43</v>
      </c>
      <c r="F1" s="11" t="s">
        <v>44</v>
      </c>
    </row>
    <row r="2" customFormat="false" ht="15" hidden="false" customHeight="false" outlineLevel="0" collapsed="false">
      <c r="A2" s="12" t="s">
        <v>18</v>
      </c>
      <c r="B2" s="12" t="n">
        <v>0.3</v>
      </c>
      <c r="C2" s="12" t="s">
        <v>33</v>
      </c>
      <c r="D2" s="12" t="n">
        <f aca="false">AVERAGEIFS('Raw (GPT-5.1)'!$D:$D,'Raw (GPT-5.1)'!$A:$A,A2,'Raw (GPT-5.1)'!$B:$B,B2,'Raw (GPT-5.1)'!$C:$C,C2)</f>
        <v>41.09</v>
      </c>
      <c r="E2" s="12" t="n">
        <f aca="false">AVERAGEIFS('Raw (GPT-5.1)'!$D:$D,'Raw (GPT-5.1)'!$A:$A,"unfiltered",'Raw (GPT-5.1)'!$B:$B,B2,'Raw (GPT-5.1)'!$C:$C,C2)</f>
        <v>35.4</v>
      </c>
      <c r="F2" s="12" t="n">
        <f aca="false">IF(D2&gt;E2,1,0)</f>
        <v>1</v>
      </c>
    </row>
    <row r="3" customFormat="false" ht="15" hidden="false" customHeight="false" outlineLevel="0" collapsed="false">
      <c r="A3" s="12" t="s">
        <v>18</v>
      </c>
      <c r="B3" s="12" t="n">
        <v>0.3</v>
      </c>
      <c r="C3" s="12" t="s">
        <v>34</v>
      </c>
      <c r="D3" s="12" t="n">
        <f aca="false">AVERAGEIFS('Raw (GPT-5.1)'!$D:$D,'Raw (GPT-5.1)'!$A:$A,A3,'Raw (GPT-5.1)'!$B:$B,B3,'Raw (GPT-5.1)'!$C:$C,C3)</f>
        <v>43.0233333333333</v>
      </c>
      <c r="E3" s="12" t="n">
        <f aca="false">AVERAGEIFS('Raw (GPT-5.1)'!$D:$D,'Raw (GPT-5.1)'!$A:$A,"unfiltered",'Raw (GPT-5.1)'!$B:$B,B3,'Raw (GPT-5.1)'!$C:$C,C3)</f>
        <v>39.4</v>
      </c>
      <c r="F3" s="12" t="n">
        <f aca="false">IF(D3&gt;E3,1,0)</f>
        <v>1</v>
      </c>
    </row>
    <row r="4" customFormat="false" ht="15" hidden="false" customHeight="false" outlineLevel="0" collapsed="false">
      <c r="A4" s="12" t="s">
        <v>18</v>
      </c>
      <c r="B4" s="12" t="n">
        <v>0.3</v>
      </c>
      <c r="C4" s="12" t="s">
        <v>35</v>
      </c>
      <c r="D4" s="12" t="n">
        <f aca="false">AVERAGEIFS('Raw (GPT-5.1)'!$D:$D,'Raw (GPT-5.1)'!$A:$A,A4,'Raw (GPT-5.1)'!$B:$B,B4,'Raw (GPT-5.1)'!$C:$C,C4)</f>
        <v>42.6566666666667</v>
      </c>
      <c r="E4" s="12" t="n">
        <f aca="false">AVERAGEIFS('Raw (GPT-5.1)'!$D:$D,'Raw (GPT-5.1)'!$A:$A,"unfiltered",'Raw (GPT-5.1)'!$B:$B,B4,'Raw (GPT-5.1)'!$C:$C,C4)</f>
        <v>32.24</v>
      </c>
      <c r="F4" s="12" t="n">
        <f aca="false">IF(D4&gt;E4,1,0)</f>
        <v>1</v>
      </c>
    </row>
    <row r="5" customFormat="false" ht="15" hidden="false" customHeight="false" outlineLevel="0" collapsed="false">
      <c r="A5" s="12" t="s">
        <v>18</v>
      </c>
      <c r="B5" s="12" t="n">
        <v>0.3</v>
      </c>
      <c r="C5" s="12" t="s">
        <v>36</v>
      </c>
      <c r="D5" s="12" t="n">
        <f aca="false">AVERAGEIFS('Raw (GPT-5.1)'!$D:$D,'Raw (GPT-5.1)'!$A:$A,A5,'Raw (GPT-5.1)'!$B:$B,B5,'Raw (GPT-5.1)'!$C:$C,C5)</f>
        <v>36.4233333333333</v>
      </c>
      <c r="E5" s="12" t="n">
        <f aca="false">AVERAGEIFS('Raw (GPT-5.1)'!$D:$D,'Raw (GPT-5.1)'!$A:$A,"unfiltered",'Raw (GPT-5.1)'!$B:$B,B5,'Raw (GPT-5.1)'!$C:$C,C5)</f>
        <v>34.79</v>
      </c>
      <c r="F5" s="12" t="n">
        <f aca="false">IF(D5&gt;E5,1,0)</f>
        <v>1</v>
      </c>
    </row>
    <row r="6" customFormat="false" ht="15" hidden="false" customHeight="false" outlineLevel="0" collapsed="false">
      <c r="A6" s="12" t="s">
        <v>18</v>
      </c>
      <c r="B6" s="12" t="n">
        <v>0.3</v>
      </c>
      <c r="C6" s="12" t="s">
        <v>37</v>
      </c>
      <c r="D6" s="12" t="n">
        <f aca="false">AVERAGEIFS('Raw (GPT-5.1)'!$D:$D,'Raw (GPT-5.1)'!$A:$A,A6,'Raw (GPT-5.1)'!$B:$B,B6,'Raw (GPT-5.1)'!$C:$C,C6)</f>
        <v>60.7233333333333</v>
      </c>
      <c r="E6" s="12" t="n">
        <f aca="false">AVERAGEIFS('Raw (GPT-5.1)'!$D:$D,'Raw (GPT-5.1)'!$A:$A,"unfiltered",'Raw (GPT-5.1)'!$B:$B,B6,'Raw (GPT-5.1)'!$C:$C,C6)</f>
        <v>40.76</v>
      </c>
      <c r="F6" s="12" t="n">
        <f aca="false">IF(D6&gt;E6,1,0)</f>
        <v>1</v>
      </c>
    </row>
    <row r="7" customFormat="false" ht="15" hidden="false" customHeight="false" outlineLevel="0" collapsed="false">
      <c r="A7" s="12" t="s">
        <v>18</v>
      </c>
      <c r="B7" s="12" t="n">
        <v>0.3</v>
      </c>
      <c r="C7" s="12" t="s">
        <v>38</v>
      </c>
      <c r="D7" s="12" t="n">
        <f aca="false">AVERAGEIFS('Raw (GPT-5.1)'!$D:$D,'Raw (GPT-5.1)'!$A:$A,A7,'Raw (GPT-5.1)'!$B:$B,B7,'Raw (GPT-5.1)'!$C:$C,C7)</f>
        <v>43.4033333333333</v>
      </c>
      <c r="E7" s="12" t="n">
        <f aca="false">AVERAGEIFS('Raw (GPT-5.1)'!$D:$D,'Raw (GPT-5.1)'!$A:$A,"unfiltered",'Raw (GPT-5.1)'!$B:$B,B7,'Raw (GPT-5.1)'!$C:$C,C7)</f>
        <v>60.11</v>
      </c>
      <c r="F7" s="12" t="n">
        <f aca="false">IF(D7&gt;E7,1,0)</f>
        <v>0</v>
      </c>
    </row>
    <row r="8" customFormat="false" ht="15" hidden="false" customHeight="false" outlineLevel="0" collapsed="false">
      <c r="A8" s="12" t="s">
        <v>18</v>
      </c>
      <c r="B8" s="12" t="n">
        <v>0.3</v>
      </c>
      <c r="C8" s="12" t="s">
        <v>39</v>
      </c>
      <c r="D8" s="12" t="n">
        <f aca="false">AVERAGEIFS('Raw (GPT-5.1)'!$D:$D,'Raw (GPT-5.1)'!$A:$A,A8,'Raw (GPT-5.1)'!$B:$B,B8,'Raw (GPT-5.1)'!$C:$C,C8)</f>
        <v>44.15</v>
      </c>
      <c r="E8" s="12" t="n">
        <f aca="false">AVERAGEIFS('Raw (GPT-5.1)'!$D:$D,'Raw (GPT-5.1)'!$A:$A,"unfiltered",'Raw (GPT-5.1)'!$B:$B,B8,'Raw (GPT-5.1)'!$C:$C,C8)</f>
        <v>44.77</v>
      </c>
      <c r="F8" s="12" t="n">
        <f aca="false">IF(D8&gt;E8,1,0)</f>
        <v>0</v>
      </c>
    </row>
    <row r="9" customFormat="false" ht="15" hidden="false" customHeight="false" outlineLevel="0" collapsed="false">
      <c r="A9" s="12" t="s">
        <v>18</v>
      </c>
      <c r="B9" s="12" t="n">
        <v>0.3</v>
      </c>
      <c r="C9" s="12" t="s">
        <v>40</v>
      </c>
      <c r="D9" s="12" t="n">
        <f aca="false">AVERAGEIFS('Raw (GPT-5.1)'!$D:$D,'Raw (GPT-5.1)'!$A:$A,A9,'Raw (GPT-5.1)'!$B:$B,B9,'Raw (GPT-5.1)'!$C:$C,C9)</f>
        <v>112.075</v>
      </c>
      <c r="E9" s="12" t="n">
        <f aca="false">AVERAGEIFS('Raw (GPT-5.1)'!$D:$D,'Raw (GPT-5.1)'!$A:$A,"unfiltered",'Raw (GPT-5.1)'!$B:$B,B9,'Raw (GPT-5.1)'!$C:$C,C9)</f>
        <v>63.17</v>
      </c>
      <c r="F9" s="12" t="n">
        <f aca="false">IF(D9&gt;E9,1,0)</f>
        <v>1</v>
      </c>
    </row>
    <row r="10" customFormat="false" ht="15" hidden="false" customHeight="false" outlineLevel="0" collapsed="false">
      <c r="A10" s="12" t="s">
        <v>18</v>
      </c>
      <c r="B10" s="12" t="n">
        <v>0.3</v>
      </c>
      <c r="C10" s="12" t="s">
        <v>41</v>
      </c>
      <c r="D10" s="12" t="n">
        <f aca="false">AVERAGEIFS('Raw (GPT-5.1)'!$D:$D,'Raw (GPT-5.1)'!$A:$A,A10,'Raw (GPT-5.1)'!$B:$B,B10,'Raw (GPT-5.1)'!$C:$C,C10)</f>
        <v>46.055</v>
      </c>
      <c r="E10" s="12" t="n">
        <f aca="false">AVERAGEIFS('Raw (GPT-5.1)'!$D:$D,'Raw (GPT-5.1)'!$A:$A,"unfiltered",'Raw (GPT-5.1)'!$B:$B,B10,'Raw (GPT-5.1)'!$C:$C,C10)</f>
        <v>57.9</v>
      </c>
      <c r="F10" s="12" t="n">
        <f aca="false">IF(D10&gt;E10,1,0)</f>
        <v>0</v>
      </c>
    </row>
    <row r="11" customFormat="false" ht="15" hidden="false" customHeight="false" outlineLevel="0" collapsed="false">
      <c r="A11" s="12" t="s">
        <v>18</v>
      </c>
      <c r="B11" s="12" t="n">
        <v>0.4</v>
      </c>
      <c r="C11" s="12" t="s">
        <v>33</v>
      </c>
      <c r="D11" s="12" t="n">
        <f aca="false">AVERAGEIFS('Raw (GPT-5.1)'!$D:$D,'Raw (GPT-5.1)'!$A:$A,A11,'Raw (GPT-5.1)'!$B:$B,B11,'Raw (GPT-5.1)'!$C:$C,C11)</f>
        <v>40.0266666666667</v>
      </c>
      <c r="E11" s="12" t="n">
        <f aca="false">AVERAGEIFS('Raw (GPT-5.1)'!$D:$D,'Raw (GPT-5.1)'!$A:$A,"unfiltered",'Raw (GPT-5.1)'!$B:$B,B11,'Raw (GPT-5.1)'!$C:$C,C11)</f>
        <v>36.69</v>
      </c>
      <c r="F11" s="12" t="n">
        <f aca="false">IF(D11&gt;E11,1,0)</f>
        <v>1</v>
      </c>
    </row>
    <row r="12" customFormat="false" ht="15" hidden="false" customHeight="false" outlineLevel="0" collapsed="false">
      <c r="A12" s="12" t="s">
        <v>18</v>
      </c>
      <c r="B12" s="12" t="n">
        <v>0.4</v>
      </c>
      <c r="C12" s="12" t="s">
        <v>34</v>
      </c>
      <c r="D12" s="12" t="n">
        <f aca="false">AVERAGEIFS('Raw (GPT-5.1)'!$D:$D,'Raw (GPT-5.1)'!$A:$A,A12,'Raw (GPT-5.1)'!$B:$B,B12,'Raw (GPT-5.1)'!$C:$C,C12)</f>
        <v>55.66</v>
      </c>
      <c r="E12" s="12" t="n">
        <f aca="false">AVERAGEIFS('Raw (GPT-5.1)'!$D:$D,'Raw (GPT-5.1)'!$A:$A,"unfiltered",'Raw (GPT-5.1)'!$B:$B,B12,'Raw (GPT-5.1)'!$C:$C,C12)</f>
        <v>43.96</v>
      </c>
      <c r="F12" s="12" t="n">
        <f aca="false">IF(D12&gt;E12,1,0)</f>
        <v>1</v>
      </c>
    </row>
    <row r="13" customFormat="false" ht="15" hidden="false" customHeight="false" outlineLevel="0" collapsed="false">
      <c r="A13" s="12" t="s">
        <v>18</v>
      </c>
      <c r="B13" s="12" t="n">
        <v>0.4</v>
      </c>
      <c r="C13" s="12" t="s">
        <v>35</v>
      </c>
      <c r="D13" s="12" t="n">
        <f aca="false">AVERAGEIFS('Raw (GPT-5.1)'!$D:$D,'Raw (GPT-5.1)'!$A:$A,A13,'Raw (GPT-5.1)'!$B:$B,B13,'Raw (GPT-5.1)'!$C:$C,C13)</f>
        <v>61.02</v>
      </c>
      <c r="E13" s="12" t="n">
        <f aca="false">AVERAGEIFS('Raw (GPT-5.1)'!$D:$D,'Raw (GPT-5.1)'!$A:$A,"unfiltered",'Raw (GPT-5.1)'!$B:$B,B13,'Raw (GPT-5.1)'!$C:$C,C13)</f>
        <v>38.65</v>
      </c>
      <c r="F13" s="12" t="n">
        <f aca="false">IF(D13&gt;E13,1,0)</f>
        <v>1</v>
      </c>
    </row>
    <row r="14" customFormat="false" ht="15" hidden="false" customHeight="false" outlineLevel="0" collapsed="false">
      <c r="A14" s="12" t="s">
        <v>18</v>
      </c>
      <c r="B14" s="12" t="n">
        <v>0.4</v>
      </c>
      <c r="C14" s="12" t="s">
        <v>36</v>
      </c>
      <c r="D14" s="12" t="n">
        <f aca="false">AVERAGEIFS('Raw (GPT-5.1)'!$D:$D,'Raw (GPT-5.1)'!$A:$A,A14,'Raw (GPT-5.1)'!$B:$B,B14,'Raw (GPT-5.1)'!$C:$C,C14)</f>
        <v>37.8133333333333</v>
      </c>
      <c r="E14" s="12" t="n">
        <f aca="false">AVERAGEIFS('Raw (GPT-5.1)'!$D:$D,'Raw (GPT-5.1)'!$A:$A,"unfiltered",'Raw (GPT-5.1)'!$B:$B,B14,'Raw (GPT-5.1)'!$C:$C,C14)</f>
        <v>31.19</v>
      </c>
      <c r="F14" s="12" t="n">
        <f aca="false">IF(D14&gt;E14,1,0)</f>
        <v>1</v>
      </c>
    </row>
    <row r="15" customFormat="false" ht="15" hidden="false" customHeight="false" outlineLevel="0" collapsed="false">
      <c r="A15" s="12" t="s">
        <v>18</v>
      </c>
      <c r="B15" s="12" t="n">
        <v>0.4</v>
      </c>
      <c r="C15" s="12" t="s">
        <v>37</v>
      </c>
      <c r="D15" s="12" t="n">
        <f aca="false">AVERAGEIFS('Raw (GPT-5.1)'!$D:$D,'Raw (GPT-5.1)'!$A:$A,A15,'Raw (GPT-5.1)'!$B:$B,B15,'Raw (GPT-5.1)'!$C:$C,C15)</f>
        <v>60.4066666666667</v>
      </c>
      <c r="E15" s="12" t="n">
        <f aca="false">AVERAGEIFS('Raw (GPT-5.1)'!$D:$D,'Raw (GPT-5.1)'!$A:$A,"unfiltered",'Raw (GPT-5.1)'!$B:$B,B15,'Raw (GPT-5.1)'!$C:$C,C15)</f>
        <v>28.79</v>
      </c>
      <c r="F15" s="12" t="n">
        <f aca="false">IF(D15&gt;E15,1,0)</f>
        <v>1</v>
      </c>
    </row>
    <row r="16" customFormat="false" ht="15" hidden="false" customHeight="false" outlineLevel="0" collapsed="false">
      <c r="A16" s="12" t="s">
        <v>18</v>
      </c>
      <c r="B16" s="12" t="n">
        <v>0.4</v>
      </c>
      <c r="C16" s="12" t="s">
        <v>38</v>
      </c>
      <c r="D16" s="12" t="n">
        <f aca="false">AVERAGEIFS('Raw (GPT-5.1)'!$D:$D,'Raw (GPT-5.1)'!$A:$A,A16,'Raw (GPT-5.1)'!$B:$B,B16,'Raw (GPT-5.1)'!$C:$C,C16)</f>
        <v>62.42</v>
      </c>
      <c r="E16" s="12" t="n">
        <f aca="false">AVERAGEIFS('Raw (GPT-5.1)'!$D:$D,'Raw (GPT-5.1)'!$A:$A,"unfiltered",'Raw (GPT-5.1)'!$B:$B,B16,'Raw (GPT-5.1)'!$C:$C,C16)</f>
        <v>47.46</v>
      </c>
      <c r="F16" s="12" t="n">
        <f aca="false">IF(D16&gt;E16,1,0)</f>
        <v>1</v>
      </c>
    </row>
    <row r="17" customFormat="false" ht="15" hidden="false" customHeight="false" outlineLevel="0" collapsed="false">
      <c r="A17" s="12" t="s">
        <v>18</v>
      </c>
      <c r="B17" s="12" t="n">
        <v>0.4</v>
      </c>
      <c r="C17" s="12" t="s">
        <v>39</v>
      </c>
      <c r="D17" s="12" t="n">
        <f aca="false">AVERAGEIFS('Raw (GPT-5.1)'!$D:$D,'Raw (GPT-5.1)'!$A:$A,A17,'Raw (GPT-5.1)'!$B:$B,B17,'Raw (GPT-5.1)'!$C:$C,C17)</f>
        <v>59.9566666666667</v>
      </c>
      <c r="E17" s="12" t="n">
        <f aca="false">AVERAGEIFS('Raw (GPT-5.1)'!$D:$D,'Raw (GPT-5.1)'!$A:$A,"unfiltered",'Raw (GPT-5.1)'!$B:$B,B17,'Raw (GPT-5.1)'!$C:$C,C17)</f>
        <v>52.45</v>
      </c>
      <c r="F17" s="12" t="n">
        <f aca="false">IF(D17&gt;E17,1,0)</f>
        <v>1</v>
      </c>
    </row>
    <row r="18" customFormat="false" ht="15" hidden="false" customHeight="false" outlineLevel="0" collapsed="false">
      <c r="A18" s="12" t="s">
        <v>18</v>
      </c>
      <c r="B18" s="12" t="n">
        <v>0.4</v>
      </c>
      <c r="C18" s="12" t="s">
        <v>40</v>
      </c>
      <c r="D18" s="12" t="n">
        <f aca="false">AVERAGEIFS('Raw (GPT-5.1)'!$D:$D,'Raw (GPT-5.1)'!$A:$A,A18,'Raw (GPT-5.1)'!$B:$B,B18,'Raw (GPT-5.1)'!$C:$C,C18)</f>
        <v>53.075</v>
      </c>
      <c r="E18" s="12" t="n">
        <f aca="false">AVERAGEIFS('Raw (GPT-5.1)'!$D:$D,'Raw (GPT-5.1)'!$A:$A,"unfiltered",'Raw (GPT-5.1)'!$B:$B,B18,'Raw (GPT-5.1)'!$C:$C,C18)</f>
        <v>72.88</v>
      </c>
      <c r="F18" s="12" t="n">
        <f aca="false">IF(D18&gt;E18,1,0)</f>
        <v>0</v>
      </c>
    </row>
    <row r="19" customFormat="false" ht="15" hidden="false" customHeight="false" outlineLevel="0" collapsed="false">
      <c r="A19" s="12" t="s">
        <v>18</v>
      </c>
      <c r="B19" s="12" t="n">
        <v>0.4</v>
      </c>
      <c r="C19" s="12" t="s">
        <v>41</v>
      </c>
      <c r="D19" s="12" t="n">
        <f aca="false">AVERAGEIFS('Raw (GPT-5.1)'!$D:$D,'Raw (GPT-5.1)'!$A:$A,A19,'Raw (GPT-5.1)'!$B:$B,B19,'Raw (GPT-5.1)'!$C:$C,C19)</f>
        <v>47.47</v>
      </c>
      <c r="E19" s="12" t="n">
        <f aca="false">AVERAGEIFS('Raw (GPT-5.1)'!$D:$D,'Raw (GPT-5.1)'!$A:$A,"unfiltered",'Raw (GPT-5.1)'!$B:$B,B19,'Raw (GPT-5.1)'!$C:$C,C19)</f>
        <v>66.14</v>
      </c>
      <c r="F19" s="12" t="n">
        <f aca="false">IF(D19&gt;E19,1,0)</f>
        <v>0</v>
      </c>
    </row>
    <row r="20" customFormat="false" ht="15" hidden="false" customHeight="false" outlineLevel="0" collapsed="false">
      <c r="A20" s="12" t="s">
        <v>18</v>
      </c>
      <c r="B20" s="12" t="n">
        <v>0.5</v>
      </c>
      <c r="C20" s="12" t="s">
        <v>33</v>
      </c>
      <c r="D20" s="12" t="n">
        <f aca="false">AVERAGEIFS('Raw (GPT-5.1)'!$D:$D,'Raw (GPT-5.1)'!$A:$A,A20,'Raw (GPT-5.1)'!$B:$B,B20,'Raw (GPT-5.1)'!$C:$C,C20)</f>
        <v>41.9966666666667</v>
      </c>
      <c r="E20" s="12" t="n">
        <f aca="false">AVERAGEIFS('Raw (GPT-5.1)'!$D:$D,'Raw (GPT-5.1)'!$A:$A,"unfiltered",'Raw (GPT-5.1)'!$B:$B,B20,'Raw (GPT-5.1)'!$C:$C,C20)</f>
        <v>40.77</v>
      </c>
      <c r="F20" s="12" t="n">
        <f aca="false">IF(D20&gt;E20,1,0)</f>
        <v>1</v>
      </c>
    </row>
    <row r="21" customFormat="false" ht="15" hidden="false" customHeight="false" outlineLevel="0" collapsed="false">
      <c r="A21" s="12" t="s">
        <v>18</v>
      </c>
      <c r="B21" s="12" t="n">
        <v>0.5</v>
      </c>
      <c r="C21" s="12" t="s">
        <v>34</v>
      </c>
      <c r="D21" s="12" t="n">
        <f aca="false">AVERAGEIFS('Raw (GPT-5.1)'!$D:$D,'Raw (GPT-5.1)'!$A:$A,A21,'Raw (GPT-5.1)'!$B:$B,B21,'Raw (GPT-5.1)'!$C:$C,C21)</f>
        <v>56.3166666666667</v>
      </c>
      <c r="E21" s="12" t="n">
        <f aca="false">AVERAGEIFS('Raw (GPT-5.1)'!$D:$D,'Raw (GPT-5.1)'!$A:$A,"unfiltered",'Raw (GPT-5.1)'!$B:$B,B21,'Raw (GPT-5.1)'!$C:$C,C21)</f>
        <v>41.89</v>
      </c>
      <c r="F21" s="12" t="n">
        <f aca="false">IF(D21&gt;E21,1,0)</f>
        <v>1</v>
      </c>
    </row>
    <row r="22" customFormat="false" ht="15" hidden="false" customHeight="false" outlineLevel="0" collapsed="false">
      <c r="A22" s="12" t="s">
        <v>18</v>
      </c>
      <c r="B22" s="12" t="n">
        <v>0.5</v>
      </c>
      <c r="C22" s="12" t="s">
        <v>35</v>
      </c>
      <c r="D22" s="12" t="n">
        <f aca="false">AVERAGEIFS('Raw (GPT-5.1)'!$D:$D,'Raw (GPT-5.1)'!$A:$A,A22,'Raw (GPT-5.1)'!$B:$B,B22,'Raw (GPT-5.1)'!$C:$C,C22)</f>
        <v>54.745</v>
      </c>
      <c r="E22" s="12" t="n">
        <f aca="false">AVERAGEIFS('Raw (GPT-5.1)'!$D:$D,'Raw (GPT-5.1)'!$A:$A,"unfiltered",'Raw (GPT-5.1)'!$B:$B,B22,'Raw (GPT-5.1)'!$C:$C,C22)</f>
        <v>41.32</v>
      </c>
      <c r="F22" s="12" t="n">
        <f aca="false">IF(D22&gt;E22,1,0)</f>
        <v>1</v>
      </c>
    </row>
    <row r="23" customFormat="false" ht="15" hidden="false" customHeight="false" outlineLevel="0" collapsed="false">
      <c r="A23" s="12" t="s">
        <v>18</v>
      </c>
      <c r="B23" s="12" t="n">
        <v>0.5</v>
      </c>
      <c r="C23" s="12" t="s">
        <v>36</v>
      </c>
      <c r="D23" s="12" t="n">
        <f aca="false">AVERAGEIFS('Raw (GPT-5.1)'!$D:$D,'Raw (GPT-5.1)'!$A:$A,A23,'Raw (GPT-5.1)'!$B:$B,B23,'Raw (GPT-5.1)'!$C:$C,C23)</f>
        <v>52.1966666666667</v>
      </c>
      <c r="E23" s="12" t="n">
        <f aca="false">AVERAGEIFS('Raw (GPT-5.1)'!$D:$D,'Raw (GPT-5.1)'!$A:$A,"unfiltered",'Raw (GPT-5.1)'!$B:$B,B23,'Raw (GPT-5.1)'!$C:$C,C23)</f>
        <v>35.01</v>
      </c>
      <c r="F23" s="12" t="n">
        <f aca="false">IF(D23&gt;E23,1,0)</f>
        <v>1</v>
      </c>
    </row>
    <row r="24" customFormat="false" ht="15" hidden="false" customHeight="false" outlineLevel="0" collapsed="false">
      <c r="A24" s="12" t="s">
        <v>18</v>
      </c>
      <c r="B24" s="12" t="n">
        <v>0.5</v>
      </c>
      <c r="C24" s="12" t="s">
        <v>37</v>
      </c>
      <c r="D24" s="12" t="n">
        <f aca="false">AVERAGEIFS('Raw (GPT-5.1)'!$D:$D,'Raw (GPT-5.1)'!$A:$A,A24,'Raw (GPT-5.1)'!$B:$B,B24,'Raw (GPT-5.1)'!$C:$C,C24)</f>
        <v>67.7266666666667</v>
      </c>
      <c r="E24" s="12" t="n">
        <f aca="false">AVERAGEIFS('Raw (GPT-5.1)'!$D:$D,'Raw (GPT-5.1)'!$A:$A,"unfiltered",'Raw (GPT-5.1)'!$B:$B,B24,'Raw (GPT-5.1)'!$C:$C,C24)</f>
        <v>42.02</v>
      </c>
      <c r="F24" s="12" t="n">
        <f aca="false">IF(D24&gt;E24,1,0)</f>
        <v>1</v>
      </c>
    </row>
    <row r="25" customFormat="false" ht="15" hidden="false" customHeight="false" outlineLevel="0" collapsed="false">
      <c r="A25" s="12" t="s">
        <v>18</v>
      </c>
      <c r="B25" s="12" t="n">
        <v>0.5</v>
      </c>
      <c r="C25" s="12" t="s">
        <v>38</v>
      </c>
      <c r="D25" s="12" t="n">
        <f aca="false">AVERAGEIFS('Raw (GPT-5.1)'!$D:$D,'Raw (GPT-5.1)'!$A:$A,A25,'Raw (GPT-5.1)'!$B:$B,B25,'Raw (GPT-5.1)'!$C:$C,C25)</f>
        <v>45.19</v>
      </c>
      <c r="E25" s="12" t="n">
        <f aca="false">AVERAGEIFS('Raw (GPT-5.1)'!$D:$D,'Raw (GPT-5.1)'!$A:$A,"unfiltered",'Raw (GPT-5.1)'!$B:$B,B25,'Raw (GPT-5.1)'!$C:$C,C25)</f>
        <v>48.7</v>
      </c>
      <c r="F25" s="12" t="n">
        <f aca="false">IF(D25&gt;E25,1,0)</f>
        <v>0</v>
      </c>
    </row>
    <row r="26" customFormat="false" ht="15" hidden="false" customHeight="false" outlineLevel="0" collapsed="false">
      <c r="A26" s="12" t="s">
        <v>18</v>
      </c>
      <c r="B26" s="12" t="n">
        <v>0.5</v>
      </c>
      <c r="C26" s="12" t="s">
        <v>39</v>
      </c>
      <c r="D26" s="12" t="n">
        <f aca="false">AVERAGEIFS('Raw (GPT-5.1)'!$D:$D,'Raw (GPT-5.1)'!$A:$A,A26,'Raw (GPT-5.1)'!$B:$B,B26,'Raw (GPT-5.1)'!$C:$C,C26)</f>
        <v>57.0133333333333</v>
      </c>
      <c r="E26" s="12" t="n">
        <f aca="false">AVERAGEIFS('Raw (GPT-5.1)'!$D:$D,'Raw (GPT-5.1)'!$A:$A,"unfiltered",'Raw (GPT-5.1)'!$B:$B,B26,'Raw (GPT-5.1)'!$C:$C,C26)</f>
        <v>52.39</v>
      </c>
      <c r="F26" s="12" t="n">
        <f aca="false">IF(D26&gt;E26,1,0)</f>
        <v>1</v>
      </c>
    </row>
    <row r="27" customFormat="false" ht="15" hidden="false" customHeight="false" outlineLevel="0" collapsed="false">
      <c r="A27" s="12" t="s">
        <v>18</v>
      </c>
      <c r="B27" s="12" t="n">
        <v>0.5</v>
      </c>
      <c r="C27" s="12" t="s">
        <v>40</v>
      </c>
      <c r="D27" s="12" t="n">
        <f aca="false">AVERAGEIFS('Raw (GPT-5.1)'!$D:$D,'Raw (GPT-5.1)'!$A:$A,A27,'Raw (GPT-5.1)'!$B:$B,B27,'Raw (GPT-5.1)'!$C:$C,C27)</f>
        <v>172.18</v>
      </c>
      <c r="E27" s="12" t="n">
        <f aca="false">AVERAGEIFS('Raw (GPT-5.1)'!$D:$D,'Raw (GPT-5.1)'!$A:$A,"unfiltered",'Raw (GPT-5.1)'!$B:$B,B27,'Raw (GPT-5.1)'!$C:$C,C27)</f>
        <v>33.75</v>
      </c>
      <c r="F27" s="12" t="n">
        <f aca="false">IF(D27&gt;E27,1,0)</f>
        <v>1</v>
      </c>
    </row>
    <row r="28" customFormat="false" ht="15" hidden="false" customHeight="false" outlineLevel="0" collapsed="false">
      <c r="A28" s="12" t="s">
        <v>18</v>
      </c>
      <c r="B28" s="12" t="n">
        <v>0.5</v>
      </c>
      <c r="C28" s="12" t="s">
        <v>41</v>
      </c>
      <c r="D28" s="12" t="n">
        <f aca="false">AVERAGEIFS('Raw (GPT-5.1)'!$D:$D,'Raw (GPT-5.1)'!$A:$A,A28,'Raw (GPT-5.1)'!$B:$B,B28,'Raw (GPT-5.1)'!$C:$C,C28)</f>
        <v>56.09</v>
      </c>
      <c r="E28" s="12" t="n">
        <f aca="false">AVERAGEIFS('Raw (GPT-5.1)'!$D:$D,'Raw (GPT-5.1)'!$A:$A,"unfiltered",'Raw (GPT-5.1)'!$B:$B,B28,'Raw (GPT-5.1)'!$C:$C,C28)</f>
        <v>70.86</v>
      </c>
      <c r="F28" s="12" t="n">
        <f aca="false">IF(D28&gt;E28,1,0)</f>
        <v>0</v>
      </c>
    </row>
    <row r="29" customFormat="false" ht="15" hidden="false" customHeight="false" outlineLevel="0" collapsed="false">
      <c r="A29" s="12" t="s">
        <v>17</v>
      </c>
      <c r="B29" s="12" t="n">
        <v>0.3</v>
      </c>
      <c r="C29" s="12" t="s">
        <v>33</v>
      </c>
      <c r="D29" s="12" t="n">
        <f aca="false">AVERAGEIFS('Raw (GPT-5.1)'!$D:$D,'Raw (GPT-5.1)'!$A:$A,A29,'Raw (GPT-5.1)'!$B:$B,B29,'Raw (GPT-5.1)'!$C:$C,C29)</f>
        <v>29.9566666666667</v>
      </c>
      <c r="E29" s="12" t="n">
        <f aca="false">AVERAGEIFS('Raw (GPT-5.1)'!$D:$D,'Raw (GPT-5.1)'!$A:$A,"unfiltered",'Raw (GPT-5.1)'!$B:$B,B29,'Raw (GPT-5.1)'!$C:$C,C29)</f>
        <v>35.4</v>
      </c>
      <c r="F29" s="12" t="n">
        <f aca="false">IF(D29&gt;E29,1,0)</f>
        <v>0</v>
      </c>
    </row>
    <row r="30" customFormat="false" ht="15" hidden="false" customHeight="false" outlineLevel="0" collapsed="false">
      <c r="A30" s="12" t="s">
        <v>17</v>
      </c>
      <c r="B30" s="12" t="n">
        <v>0.3</v>
      </c>
      <c r="C30" s="12" t="s">
        <v>34</v>
      </c>
      <c r="D30" s="12" t="n">
        <f aca="false">AVERAGEIFS('Raw (GPT-5.1)'!$D:$D,'Raw (GPT-5.1)'!$A:$A,A30,'Raw (GPT-5.1)'!$B:$B,B30,'Raw (GPT-5.1)'!$C:$C,C30)</f>
        <v>49.4633333333333</v>
      </c>
      <c r="E30" s="12" t="n">
        <f aca="false">AVERAGEIFS('Raw (GPT-5.1)'!$D:$D,'Raw (GPT-5.1)'!$A:$A,"unfiltered",'Raw (GPT-5.1)'!$B:$B,B30,'Raw (GPT-5.1)'!$C:$C,C30)</f>
        <v>39.4</v>
      </c>
      <c r="F30" s="12" t="n">
        <f aca="false">IF(D30&gt;E30,1,0)</f>
        <v>1</v>
      </c>
    </row>
    <row r="31" customFormat="false" ht="15" hidden="false" customHeight="false" outlineLevel="0" collapsed="false">
      <c r="A31" s="12" t="s">
        <v>17</v>
      </c>
      <c r="B31" s="12" t="n">
        <v>0.3</v>
      </c>
      <c r="C31" s="12" t="s">
        <v>35</v>
      </c>
      <c r="D31" s="12" t="n">
        <f aca="false">AVERAGEIFS('Raw (GPT-5.1)'!$D:$D,'Raw (GPT-5.1)'!$A:$A,A31,'Raw (GPT-5.1)'!$B:$B,B31,'Raw (GPT-5.1)'!$C:$C,C31)</f>
        <v>48.4333333333333</v>
      </c>
      <c r="E31" s="12" t="n">
        <f aca="false">AVERAGEIFS('Raw (GPT-5.1)'!$D:$D,'Raw (GPT-5.1)'!$A:$A,"unfiltered",'Raw (GPT-5.1)'!$B:$B,B31,'Raw (GPT-5.1)'!$C:$C,C31)</f>
        <v>32.24</v>
      </c>
      <c r="F31" s="12" t="n">
        <f aca="false">IF(D31&gt;E31,1,0)</f>
        <v>1</v>
      </c>
    </row>
    <row r="32" customFormat="false" ht="15" hidden="false" customHeight="false" outlineLevel="0" collapsed="false">
      <c r="A32" s="12" t="s">
        <v>17</v>
      </c>
      <c r="B32" s="12" t="n">
        <v>0.3</v>
      </c>
      <c r="C32" s="12" t="s">
        <v>36</v>
      </c>
      <c r="D32" s="12" t="n">
        <f aca="false">AVERAGEIFS('Raw (GPT-5.1)'!$D:$D,'Raw (GPT-5.1)'!$A:$A,A32,'Raw (GPT-5.1)'!$B:$B,B32,'Raw (GPT-5.1)'!$C:$C,C32)</f>
        <v>38.06</v>
      </c>
      <c r="E32" s="12" t="n">
        <f aca="false">AVERAGEIFS('Raw (GPT-5.1)'!$D:$D,'Raw (GPT-5.1)'!$A:$A,"unfiltered",'Raw (GPT-5.1)'!$B:$B,B32,'Raw (GPT-5.1)'!$C:$C,C32)</f>
        <v>34.79</v>
      </c>
      <c r="F32" s="12" t="n">
        <f aca="false">IF(D32&gt;E32,1,0)</f>
        <v>1</v>
      </c>
    </row>
    <row r="33" customFormat="false" ht="15" hidden="false" customHeight="false" outlineLevel="0" collapsed="false">
      <c r="A33" s="12" t="s">
        <v>17</v>
      </c>
      <c r="B33" s="12" t="n">
        <v>0.3</v>
      </c>
      <c r="C33" s="12" t="s">
        <v>37</v>
      </c>
      <c r="D33" s="12" t="n">
        <f aca="false">AVERAGEIFS('Raw (GPT-5.1)'!$D:$D,'Raw (GPT-5.1)'!$A:$A,A33,'Raw (GPT-5.1)'!$B:$B,B33,'Raw (GPT-5.1)'!$C:$C,C33)</f>
        <v>79.7833333333333</v>
      </c>
      <c r="E33" s="12" t="n">
        <f aca="false">AVERAGEIFS('Raw (GPT-5.1)'!$D:$D,'Raw (GPT-5.1)'!$A:$A,"unfiltered",'Raw (GPT-5.1)'!$B:$B,B33,'Raw (GPT-5.1)'!$C:$C,C33)</f>
        <v>40.76</v>
      </c>
      <c r="F33" s="12" t="n">
        <f aca="false">IF(D33&gt;E33,1,0)</f>
        <v>1</v>
      </c>
    </row>
    <row r="34" customFormat="false" ht="15" hidden="false" customHeight="false" outlineLevel="0" collapsed="false">
      <c r="A34" s="12" t="s">
        <v>17</v>
      </c>
      <c r="B34" s="12" t="n">
        <v>0.3</v>
      </c>
      <c r="C34" s="12" t="s">
        <v>38</v>
      </c>
      <c r="D34" s="12" t="n">
        <f aca="false">AVERAGEIFS('Raw (GPT-5.1)'!$D:$D,'Raw (GPT-5.1)'!$A:$A,A34,'Raw (GPT-5.1)'!$B:$B,B34,'Raw (GPT-5.1)'!$C:$C,C34)</f>
        <v>61.03</v>
      </c>
      <c r="E34" s="12" t="n">
        <f aca="false">AVERAGEIFS('Raw (GPT-5.1)'!$D:$D,'Raw (GPT-5.1)'!$A:$A,"unfiltered",'Raw (GPT-5.1)'!$B:$B,B34,'Raw (GPT-5.1)'!$C:$C,C34)</f>
        <v>60.11</v>
      </c>
      <c r="F34" s="12" t="n">
        <f aca="false">IF(D34&gt;E34,1,0)</f>
        <v>1</v>
      </c>
    </row>
    <row r="35" customFormat="false" ht="15" hidden="false" customHeight="false" outlineLevel="0" collapsed="false">
      <c r="A35" s="12" t="s">
        <v>17</v>
      </c>
      <c r="B35" s="12" t="n">
        <v>0.3</v>
      </c>
      <c r="C35" s="12" t="s">
        <v>39</v>
      </c>
      <c r="D35" s="12" t="n">
        <f aca="false">AVERAGEIFS('Raw (GPT-5.1)'!$D:$D,'Raw (GPT-5.1)'!$A:$A,A35,'Raw (GPT-5.1)'!$B:$B,B35,'Raw (GPT-5.1)'!$C:$C,C35)</f>
        <v>71.45</v>
      </c>
      <c r="E35" s="12" t="n">
        <f aca="false">AVERAGEIFS('Raw (GPT-5.1)'!$D:$D,'Raw (GPT-5.1)'!$A:$A,"unfiltered",'Raw (GPT-5.1)'!$B:$B,B35,'Raw (GPT-5.1)'!$C:$C,C35)</f>
        <v>44.77</v>
      </c>
      <c r="F35" s="12" t="n">
        <f aca="false">IF(D35&gt;E35,1,0)</f>
        <v>1</v>
      </c>
    </row>
    <row r="36" customFormat="false" ht="15" hidden="false" customHeight="false" outlineLevel="0" collapsed="false">
      <c r="A36" s="12" t="s">
        <v>17</v>
      </c>
      <c r="B36" s="12" t="n">
        <v>0.3</v>
      </c>
      <c r="C36" s="12" t="s">
        <v>40</v>
      </c>
      <c r="D36" s="12" t="n">
        <f aca="false">AVERAGEIFS('Raw (GPT-5.1)'!$D:$D,'Raw (GPT-5.1)'!$A:$A,A36,'Raw (GPT-5.1)'!$B:$B,B36,'Raw (GPT-5.1)'!$C:$C,C36)</f>
        <v>49.765</v>
      </c>
      <c r="E36" s="12" t="n">
        <f aca="false">AVERAGEIFS('Raw (GPT-5.1)'!$D:$D,'Raw (GPT-5.1)'!$A:$A,"unfiltered",'Raw (GPT-5.1)'!$B:$B,B36,'Raw (GPT-5.1)'!$C:$C,C36)</f>
        <v>63.17</v>
      </c>
      <c r="F36" s="12" t="n">
        <f aca="false">IF(D36&gt;E36,1,0)</f>
        <v>0</v>
      </c>
    </row>
    <row r="37" customFormat="false" ht="15" hidden="false" customHeight="false" outlineLevel="0" collapsed="false">
      <c r="A37" s="12" t="s">
        <v>17</v>
      </c>
      <c r="B37" s="12" t="n">
        <v>0.3</v>
      </c>
      <c r="C37" s="12" t="s">
        <v>41</v>
      </c>
      <c r="D37" s="12" t="n">
        <f aca="false">AVERAGEIFS('Raw (GPT-5.1)'!$D:$D,'Raw (GPT-5.1)'!$A:$A,A37,'Raw (GPT-5.1)'!$B:$B,B37,'Raw (GPT-5.1)'!$C:$C,C37)</f>
        <v>39.66</v>
      </c>
      <c r="E37" s="12" t="n">
        <f aca="false">AVERAGEIFS('Raw (GPT-5.1)'!$D:$D,'Raw (GPT-5.1)'!$A:$A,"unfiltered",'Raw (GPT-5.1)'!$B:$B,B37,'Raw (GPT-5.1)'!$C:$C,C37)</f>
        <v>57.9</v>
      </c>
      <c r="F37" s="12" t="n">
        <f aca="false">IF(D37&gt;E37,1,0)</f>
        <v>0</v>
      </c>
    </row>
    <row r="38" customFormat="false" ht="15" hidden="false" customHeight="false" outlineLevel="0" collapsed="false">
      <c r="A38" s="12" t="s">
        <v>17</v>
      </c>
      <c r="B38" s="12" t="n">
        <v>0.4</v>
      </c>
      <c r="C38" s="12" t="s">
        <v>33</v>
      </c>
      <c r="D38" s="12" t="n">
        <f aca="false">AVERAGEIFS('Raw (GPT-5.1)'!$D:$D,'Raw (GPT-5.1)'!$A:$A,A38,'Raw (GPT-5.1)'!$B:$B,B38,'Raw (GPT-5.1)'!$C:$C,C38)</f>
        <v>36.8966666666667</v>
      </c>
      <c r="E38" s="12" t="n">
        <f aca="false">AVERAGEIFS('Raw (GPT-5.1)'!$D:$D,'Raw (GPT-5.1)'!$A:$A,"unfiltered",'Raw (GPT-5.1)'!$B:$B,B38,'Raw (GPT-5.1)'!$C:$C,C38)</f>
        <v>36.69</v>
      </c>
      <c r="F38" s="12" t="n">
        <f aca="false">IF(D38&gt;E38,1,0)</f>
        <v>1</v>
      </c>
    </row>
    <row r="39" customFormat="false" ht="15" hidden="false" customHeight="false" outlineLevel="0" collapsed="false">
      <c r="A39" s="12" t="s">
        <v>17</v>
      </c>
      <c r="B39" s="12" t="n">
        <v>0.4</v>
      </c>
      <c r="C39" s="12" t="s">
        <v>34</v>
      </c>
      <c r="D39" s="12" t="n">
        <f aca="false">AVERAGEIFS('Raw (GPT-5.1)'!$D:$D,'Raw (GPT-5.1)'!$A:$A,A39,'Raw (GPT-5.1)'!$B:$B,B39,'Raw (GPT-5.1)'!$C:$C,C39)</f>
        <v>44.2433333333333</v>
      </c>
      <c r="E39" s="12" t="n">
        <f aca="false">AVERAGEIFS('Raw (GPT-5.1)'!$D:$D,'Raw (GPT-5.1)'!$A:$A,"unfiltered",'Raw (GPT-5.1)'!$B:$B,B39,'Raw (GPT-5.1)'!$C:$C,C39)</f>
        <v>43.96</v>
      </c>
      <c r="F39" s="12" t="n">
        <f aca="false">IF(D39&gt;E39,1,0)</f>
        <v>1</v>
      </c>
    </row>
    <row r="40" customFormat="false" ht="15" hidden="false" customHeight="false" outlineLevel="0" collapsed="false">
      <c r="A40" s="12" t="s">
        <v>17</v>
      </c>
      <c r="B40" s="12" t="n">
        <v>0.4</v>
      </c>
      <c r="C40" s="12" t="s">
        <v>35</v>
      </c>
      <c r="D40" s="12" t="n">
        <f aca="false">AVERAGEIFS('Raw (GPT-5.1)'!$D:$D,'Raw (GPT-5.1)'!$A:$A,A40,'Raw (GPT-5.1)'!$B:$B,B40,'Raw (GPT-5.1)'!$C:$C,C40)</f>
        <v>45.79</v>
      </c>
      <c r="E40" s="12" t="n">
        <f aca="false">AVERAGEIFS('Raw (GPT-5.1)'!$D:$D,'Raw (GPT-5.1)'!$A:$A,"unfiltered",'Raw (GPT-5.1)'!$B:$B,B40,'Raw (GPT-5.1)'!$C:$C,C40)</f>
        <v>38.65</v>
      </c>
      <c r="F40" s="12" t="n">
        <f aca="false">IF(D40&gt;E40,1,0)</f>
        <v>1</v>
      </c>
    </row>
    <row r="41" customFormat="false" ht="15" hidden="false" customHeight="false" outlineLevel="0" collapsed="false">
      <c r="A41" s="12" t="s">
        <v>17</v>
      </c>
      <c r="B41" s="12" t="n">
        <v>0.4</v>
      </c>
      <c r="C41" s="12" t="s">
        <v>36</v>
      </c>
      <c r="D41" s="12" t="n">
        <f aca="false">AVERAGEIFS('Raw (GPT-5.1)'!$D:$D,'Raw (GPT-5.1)'!$A:$A,A41,'Raw (GPT-5.1)'!$B:$B,B41,'Raw (GPT-5.1)'!$C:$C,C41)</f>
        <v>59.31</v>
      </c>
      <c r="E41" s="12" t="n">
        <f aca="false">AVERAGEIFS('Raw (GPT-5.1)'!$D:$D,'Raw (GPT-5.1)'!$A:$A,"unfiltered",'Raw (GPT-5.1)'!$B:$B,B41,'Raw (GPT-5.1)'!$C:$C,C41)</f>
        <v>31.19</v>
      </c>
      <c r="F41" s="12" t="n">
        <f aca="false">IF(D41&gt;E41,1,0)</f>
        <v>1</v>
      </c>
    </row>
    <row r="42" customFormat="false" ht="15" hidden="false" customHeight="false" outlineLevel="0" collapsed="false">
      <c r="A42" s="12" t="s">
        <v>17</v>
      </c>
      <c r="B42" s="12" t="n">
        <v>0.4</v>
      </c>
      <c r="C42" s="12" t="s">
        <v>37</v>
      </c>
      <c r="D42" s="12" t="n">
        <f aca="false">AVERAGEIFS('Raw (GPT-5.1)'!$D:$D,'Raw (GPT-5.1)'!$A:$A,A42,'Raw (GPT-5.1)'!$B:$B,B42,'Raw (GPT-5.1)'!$C:$C,C42)</f>
        <v>59.21</v>
      </c>
      <c r="E42" s="12" t="n">
        <f aca="false">AVERAGEIFS('Raw (GPT-5.1)'!$D:$D,'Raw (GPT-5.1)'!$A:$A,"unfiltered",'Raw (GPT-5.1)'!$B:$B,B42,'Raw (GPT-5.1)'!$C:$C,C42)</f>
        <v>28.79</v>
      </c>
      <c r="F42" s="12" t="n">
        <f aca="false">IF(D42&gt;E42,1,0)</f>
        <v>1</v>
      </c>
    </row>
    <row r="43" customFormat="false" ht="15" hidden="false" customHeight="false" outlineLevel="0" collapsed="false">
      <c r="A43" s="12" t="s">
        <v>17</v>
      </c>
      <c r="B43" s="12" t="n">
        <v>0.4</v>
      </c>
      <c r="C43" s="12" t="s">
        <v>38</v>
      </c>
      <c r="D43" s="12" t="n">
        <f aca="false">AVERAGEIFS('Raw (GPT-5.1)'!$D:$D,'Raw (GPT-5.1)'!$A:$A,A43,'Raw (GPT-5.1)'!$B:$B,B43,'Raw (GPT-5.1)'!$C:$C,C43)</f>
        <v>73.87</v>
      </c>
      <c r="E43" s="12" t="n">
        <f aca="false">AVERAGEIFS('Raw (GPT-5.1)'!$D:$D,'Raw (GPT-5.1)'!$A:$A,"unfiltered",'Raw (GPT-5.1)'!$B:$B,B43,'Raw (GPT-5.1)'!$C:$C,C43)</f>
        <v>47.46</v>
      </c>
      <c r="F43" s="12" t="n">
        <f aca="false">IF(D43&gt;E43,1,0)</f>
        <v>1</v>
      </c>
    </row>
    <row r="44" customFormat="false" ht="15" hidden="false" customHeight="false" outlineLevel="0" collapsed="false">
      <c r="A44" s="12" t="s">
        <v>17</v>
      </c>
      <c r="B44" s="12" t="n">
        <v>0.4</v>
      </c>
      <c r="C44" s="12" t="s">
        <v>39</v>
      </c>
      <c r="D44" s="12" t="n">
        <f aca="false">AVERAGEIFS('Raw (GPT-5.1)'!$D:$D,'Raw (GPT-5.1)'!$A:$A,A44,'Raw (GPT-5.1)'!$B:$B,B44,'Raw (GPT-5.1)'!$C:$C,C44)</f>
        <v>58.335</v>
      </c>
      <c r="E44" s="12" t="n">
        <f aca="false">AVERAGEIFS('Raw (GPT-5.1)'!$D:$D,'Raw (GPT-5.1)'!$A:$A,"unfiltered",'Raw (GPT-5.1)'!$B:$B,B44,'Raw (GPT-5.1)'!$C:$C,C44)</f>
        <v>52.45</v>
      </c>
      <c r="F44" s="12" t="n">
        <f aca="false">IF(D44&gt;E44,1,0)</f>
        <v>1</v>
      </c>
    </row>
    <row r="45" customFormat="false" ht="15" hidden="false" customHeight="false" outlineLevel="0" collapsed="false">
      <c r="A45" s="12" t="s">
        <v>17</v>
      </c>
      <c r="B45" s="12" t="n">
        <v>0.4</v>
      </c>
      <c r="C45" s="12" t="s">
        <v>40</v>
      </c>
      <c r="D45" s="12" t="n">
        <f aca="false">AVERAGEIFS('Raw (GPT-5.1)'!$D:$D,'Raw (GPT-5.1)'!$A:$A,A45,'Raw (GPT-5.1)'!$B:$B,B45,'Raw (GPT-5.1)'!$C:$C,C45)</f>
        <v>127.84</v>
      </c>
      <c r="E45" s="12" t="n">
        <f aca="false">AVERAGEIFS('Raw (GPT-5.1)'!$D:$D,'Raw (GPT-5.1)'!$A:$A,"unfiltered",'Raw (GPT-5.1)'!$B:$B,B45,'Raw (GPT-5.1)'!$C:$C,C45)</f>
        <v>72.88</v>
      </c>
      <c r="F45" s="12" t="n">
        <f aca="false">IF(D45&gt;E45,1,0)</f>
        <v>1</v>
      </c>
    </row>
    <row r="46" customFormat="false" ht="15" hidden="false" customHeight="false" outlineLevel="0" collapsed="false">
      <c r="A46" s="12" t="s">
        <v>17</v>
      </c>
      <c r="B46" s="12" t="n">
        <v>0.4</v>
      </c>
      <c r="C46" s="12" t="s">
        <v>41</v>
      </c>
      <c r="D46" s="12" t="n">
        <f aca="false">AVERAGEIFS('Raw (GPT-5.1)'!$D:$D,'Raw (GPT-5.1)'!$A:$A,A46,'Raw (GPT-5.1)'!$B:$B,B46,'Raw (GPT-5.1)'!$C:$C,C46)</f>
        <v>34.21</v>
      </c>
      <c r="E46" s="12" t="n">
        <f aca="false">AVERAGEIFS('Raw (GPT-5.1)'!$D:$D,'Raw (GPT-5.1)'!$A:$A,"unfiltered",'Raw (GPT-5.1)'!$B:$B,B46,'Raw (GPT-5.1)'!$C:$C,C46)</f>
        <v>66.14</v>
      </c>
      <c r="F46" s="12" t="n">
        <f aca="false">IF(D46&gt;E46,1,0)</f>
        <v>0</v>
      </c>
    </row>
    <row r="47" customFormat="false" ht="15" hidden="false" customHeight="false" outlineLevel="0" collapsed="false">
      <c r="A47" s="12" t="s">
        <v>17</v>
      </c>
      <c r="B47" s="12" t="n">
        <v>0.5</v>
      </c>
      <c r="C47" s="12" t="s">
        <v>33</v>
      </c>
      <c r="D47" s="12" t="n">
        <f aca="false">AVERAGEIFS('Raw (GPT-5.1)'!$D:$D,'Raw (GPT-5.1)'!$A:$A,A47,'Raw (GPT-5.1)'!$B:$B,B47,'Raw (GPT-5.1)'!$C:$C,C47)</f>
        <v>33.4633333333333</v>
      </c>
      <c r="E47" s="12" t="n">
        <f aca="false">AVERAGEIFS('Raw (GPT-5.1)'!$D:$D,'Raw (GPT-5.1)'!$A:$A,"unfiltered",'Raw (GPT-5.1)'!$B:$B,B47,'Raw (GPT-5.1)'!$C:$C,C47)</f>
        <v>40.77</v>
      </c>
      <c r="F47" s="12" t="n">
        <f aca="false">IF(D47&gt;E47,1,0)</f>
        <v>0</v>
      </c>
    </row>
    <row r="48" customFormat="false" ht="15" hidden="false" customHeight="false" outlineLevel="0" collapsed="false">
      <c r="A48" s="12" t="s">
        <v>17</v>
      </c>
      <c r="B48" s="12" t="n">
        <v>0.5</v>
      </c>
      <c r="C48" s="12" t="s">
        <v>34</v>
      </c>
      <c r="D48" s="12" t="n">
        <f aca="false">AVERAGEIFS('Raw (GPT-5.1)'!$D:$D,'Raw (GPT-5.1)'!$A:$A,A48,'Raw (GPT-5.1)'!$B:$B,B48,'Raw (GPT-5.1)'!$C:$C,C48)</f>
        <v>53.3266666666667</v>
      </c>
      <c r="E48" s="12" t="n">
        <f aca="false">AVERAGEIFS('Raw (GPT-5.1)'!$D:$D,'Raw (GPT-5.1)'!$A:$A,"unfiltered",'Raw (GPT-5.1)'!$B:$B,B48,'Raw (GPT-5.1)'!$C:$C,C48)</f>
        <v>41.89</v>
      </c>
      <c r="F48" s="12" t="n">
        <f aca="false">IF(D48&gt;E48,1,0)</f>
        <v>1</v>
      </c>
    </row>
    <row r="49" customFormat="false" ht="15" hidden="false" customHeight="false" outlineLevel="0" collapsed="false">
      <c r="A49" s="12" t="s">
        <v>17</v>
      </c>
      <c r="B49" s="12" t="n">
        <v>0.5</v>
      </c>
      <c r="C49" s="12" t="s">
        <v>35</v>
      </c>
      <c r="D49" s="12" t="n">
        <f aca="false">AVERAGEIFS('Raw (GPT-5.1)'!$D:$D,'Raw (GPT-5.1)'!$A:$A,A49,'Raw (GPT-5.1)'!$B:$B,B49,'Raw (GPT-5.1)'!$C:$C,C49)</f>
        <v>47.7933333333333</v>
      </c>
      <c r="E49" s="12" t="n">
        <f aca="false">AVERAGEIFS('Raw (GPT-5.1)'!$D:$D,'Raw (GPT-5.1)'!$A:$A,"unfiltered",'Raw (GPT-5.1)'!$B:$B,B49,'Raw (GPT-5.1)'!$C:$C,C49)</f>
        <v>41.32</v>
      </c>
      <c r="F49" s="12" t="n">
        <f aca="false">IF(D49&gt;E49,1,0)</f>
        <v>1</v>
      </c>
    </row>
    <row r="50" customFormat="false" ht="15" hidden="false" customHeight="false" outlineLevel="0" collapsed="false">
      <c r="A50" s="12" t="s">
        <v>17</v>
      </c>
      <c r="B50" s="12" t="n">
        <v>0.5</v>
      </c>
      <c r="C50" s="12" t="s">
        <v>36</v>
      </c>
      <c r="D50" s="12" t="n">
        <f aca="false">AVERAGEIFS('Raw (GPT-5.1)'!$D:$D,'Raw (GPT-5.1)'!$A:$A,A50,'Raw (GPT-5.1)'!$B:$B,B50,'Raw (GPT-5.1)'!$C:$C,C50)</f>
        <v>53.32</v>
      </c>
      <c r="E50" s="12" t="n">
        <f aca="false">AVERAGEIFS('Raw (GPT-5.1)'!$D:$D,'Raw (GPT-5.1)'!$A:$A,"unfiltered",'Raw (GPT-5.1)'!$B:$B,B50,'Raw (GPT-5.1)'!$C:$C,C50)</f>
        <v>35.01</v>
      </c>
      <c r="F50" s="12" t="n">
        <f aca="false">IF(D50&gt;E50,1,0)</f>
        <v>1</v>
      </c>
    </row>
    <row r="51" customFormat="false" ht="15" hidden="false" customHeight="false" outlineLevel="0" collapsed="false">
      <c r="A51" s="12" t="s">
        <v>17</v>
      </c>
      <c r="B51" s="12" t="n">
        <v>0.5</v>
      </c>
      <c r="C51" s="12" t="s">
        <v>37</v>
      </c>
      <c r="D51" s="12" t="n">
        <f aca="false">AVERAGEIFS('Raw (GPT-5.1)'!$D:$D,'Raw (GPT-5.1)'!$A:$A,A51,'Raw (GPT-5.1)'!$B:$B,B51,'Raw (GPT-5.1)'!$C:$C,C51)</f>
        <v>82.6333333333333</v>
      </c>
      <c r="E51" s="12" t="n">
        <f aca="false">AVERAGEIFS('Raw (GPT-5.1)'!$D:$D,'Raw (GPT-5.1)'!$A:$A,"unfiltered",'Raw (GPT-5.1)'!$B:$B,B51,'Raw (GPT-5.1)'!$C:$C,C51)</f>
        <v>42.02</v>
      </c>
      <c r="F51" s="12" t="n">
        <f aca="false">IF(D51&gt;E51,1,0)</f>
        <v>1</v>
      </c>
    </row>
    <row r="52" customFormat="false" ht="15" hidden="false" customHeight="false" outlineLevel="0" collapsed="false">
      <c r="A52" s="12" t="s">
        <v>17</v>
      </c>
      <c r="B52" s="12" t="n">
        <v>0.5</v>
      </c>
      <c r="C52" s="12" t="s">
        <v>38</v>
      </c>
      <c r="D52" s="12" t="n">
        <f aca="false">AVERAGEIFS('Raw (GPT-5.1)'!$D:$D,'Raw (GPT-5.1)'!$A:$A,A52,'Raw (GPT-5.1)'!$B:$B,B52,'Raw (GPT-5.1)'!$C:$C,C52)</f>
        <v>63.0966666666667</v>
      </c>
      <c r="E52" s="12" t="n">
        <f aca="false">AVERAGEIFS('Raw (GPT-5.1)'!$D:$D,'Raw (GPT-5.1)'!$A:$A,"unfiltered",'Raw (GPT-5.1)'!$B:$B,B52,'Raw (GPT-5.1)'!$C:$C,C52)</f>
        <v>48.7</v>
      </c>
      <c r="F52" s="12" t="n">
        <f aca="false">IF(D52&gt;E52,1,0)</f>
        <v>1</v>
      </c>
    </row>
    <row r="53" customFormat="false" ht="15" hidden="false" customHeight="false" outlineLevel="0" collapsed="false">
      <c r="A53" s="12" t="s">
        <v>17</v>
      </c>
      <c r="B53" s="12" t="n">
        <v>0.5</v>
      </c>
      <c r="C53" s="12" t="s">
        <v>39</v>
      </c>
      <c r="D53" s="12" t="n">
        <f aca="false">AVERAGEIFS('Raw (GPT-5.1)'!$D:$D,'Raw (GPT-5.1)'!$A:$A,A53,'Raw (GPT-5.1)'!$B:$B,B53,'Raw (GPT-5.1)'!$C:$C,C53)</f>
        <v>72.685</v>
      </c>
      <c r="E53" s="12" t="n">
        <f aca="false">AVERAGEIFS('Raw (GPT-5.1)'!$D:$D,'Raw (GPT-5.1)'!$A:$A,"unfiltered",'Raw (GPT-5.1)'!$B:$B,B53,'Raw (GPT-5.1)'!$C:$C,C53)</f>
        <v>52.39</v>
      </c>
      <c r="F53" s="12" t="n">
        <f aca="false">IF(D53&gt;E53,1,0)</f>
        <v>1</v>
      </c>
    </row>
    <row r="54" customFormat="false" ht="15" hidden="false" customHeight="false" outlineLevel="0" collapsed="false">
      <c r="A54" s="12" t="s">
        <v>17</v>
      </c>
      <c r="B54" s="12" t="n">
        <v>0.5</v>
      </c>
      <c r="C54" s="12" t="s">
        <v>40</v>
      </c>
      <c r="D54" s="12" t="n">
        <f aca="false">AVERAGEIFS('Raw (GPT-5.1)'!$D:$D,'Raw (GPT-5.1)'!$A:$A,A54,'Raw (GPT-5.1)'!$B:$B,B54,'Raw (GPT-5.1)'!$C:$C,C54)</f>
        <v>124.69</v>
      </c>
      <c r="E54" s="12" t="n">
        <f aca="false">AVERAGEIFS('Raw (GPT-5.1)'!$D:$D,'Raw (GPT-5.1)'!$A:$A,"unfiltered",'Raw (GPT-5.1)'!$B:$B,B54,'Raw (GPT-5.1)'!$C:$C,C54)</f>
        <v>33.75</v>
      </c>
      <c r="F54" s="12" t="n">
        <f aca="false">IF(D54&gt;E54,1,0)</f>
        <v>1</v>
      </c>
    </row>
    <row r="55" customFormat="false" ht="15" hidden="false" customHeight="false" outlineLevel="0" collapsed="false">
      <c r="A55" s="12" t="s">
        <v>17</v>
      </c>
      <c r="B55" s="12" t="n">
        <v>0.5</v>
      </c>
      <c r="C55" s="12" t="s">
        <v>41</v>
      </c>
      <c r="D55" s="12" t="n">
        <f aca="false">AVERAGEIFS('Raw (GPT-5.1)'!$D:$D,'Raw (GPT-5.1)'!$A:$A,A55,'Raw (GPT-5.1)'!$B:$B,B55,'Raw (GPT-5.1)'!$C:$C,C55)</f>
        <v>8.39</v>
      </c>
      <c r="E55" s="12" t="n">
        <f aca="false">AVERAGEIFS('Raw (GPT-5.1)'!$D:$D,'Raw (GPT-5.1)'!$A:$A,"unfiltered",'Raw (GPT-5.1)'!$B:$B,B55,'Raw (GPT-5.1)'!$C:$C,C55)</f>
        <v>70.86</v>
      </c>
      <c r="F55" s="12" t="n">
        <f aca="false">IF(D55&gt;E55,1,0)</f>
        <v>0</v>
      </c>
    </row>
    <row r="56" customFormat="false" ht="15" hidden="false" customHeight="false" outlineLevel="0" collapsed="false">
      <c r="A56" s="12" t="s">
        <v>16</v>
      </c>
      <c r="B56" s="12" t="n">
        <v>0.3</v>
      </c>
      <c r="C56" s="12" t="s">
        <v>33</v>
      </c>
      <c r="D56" s="12" t="n">
        <f aca="false">AVERAGEIFS('Raw (GPT-5.1)'!$D:$D,'Raw (GPT-5.1)'!$A:$A,A56,'Raw (GPT-5.1)'!$B:$B,B56,'Raw (GPT-5.1)'!$C:$C,C56)</f>
        <v>40.46</v>
      </c>
      <c r="E56" s="12" t="n">
        <f aca="false">AVERAGEIFS('Raw (GPT-5.1)'!$D:$D,'Raw (GPT-5.1)'!$A:$A,"unfiltered",'Raw (GPT-5.1)'!$B:$B,B56,'Raw (GPT-5.1)'!$C:$C,C56)</f>
        <v>35.4</v>
      </c>
      <c r="F56" s="12" t="n">
        <f aca="false">IF(D56&gt;E56,1,0)</f>
        <v>1</v>
      </c>
    </row>
    <row r="57" customFormat="false" ht="15" hidden="false" customHeight="false" outlineLevel="0" collapsed="false">
      <c r="A57" s="12" t="s">
        <v>16</v>
      </c>
      <c r="B57" s="12" t="n">
        <v>0.3</v>
      </c>
      <c r="C57" s="12" t="s">
        <v>34</v>
      </c>
      <c r="D57" s="12" t="n">
        <f aca="false">AVERAGEIFS('Raw (GPT-5.1)'!$D:$D,'Raw (GPT-5.1)'!$A:$A,A57,'Raw (GPT-5.1)'!$B:$B,B57,'Raw (GPT-5.1)'!$C:$C,C57)</f>
        <v>56.7533333333333</v>
      </c>
      <c r="E57" s="12" t="n">
        <f aca="false">AVERAGEIFS('Raw (GPT-5.1)'!$D:$D,'Raw (GPT-5.1)'!$A:$A,"unfiltered",'Raw (GPT-5.1)'!$B:$B,B57,'Raw (GPT-5.1)'!$C:$C,C57)</f>
        <v>39.4</v>
      </c>
      <c r="F57" s="12" t="n">
        <f aca="false">IF(D57&gt;E57,1,0)</f>
        <v>1</v>
      </c>
    </row>
    <row r="58" customFormat="false" ht="15" hidden="false" customHeight="false" outlineLevel="0" collapsed="false">
      <c r="A58" s="12" t="s">
        <v>16</v>
      </c>
      <c r="B58" s="12" t="n">
        <v>0.3</v>
      </c>
      <c r="C58" s="12" t="s">
        <v>35</v>
      </c>
      <c r="D58" s="12" t="n">
        <f aca="false">AVERAGEIFS('Raw (GPT-5.1)'!$D:$D,'Raw (GPT-5.1)'!$A:$A,A58,'Raw (GPT-5.1)'!$B:$B,B58,'Raw (GPT-5.1)'!$C:$C,C58)</f>
        <v>51.54</v>
      </c>
      <c r="E58" s="12" t="n">
        <f aca="false">AVERAGEIFS('Raw (GPT-5.1)'!$D:$D,'Raw (GPT-5.1)'!$A:$A,"unfiltered",'Raw (GPT-5.1)'!$B:$B,B58,'Raw (GPT-5.1)'!$C:$C,C58)</f>
        <v>32.24</v>
      </c>
      <c r="F58" s="12" t="n">
        <f aca="false">IF(D58&gt;E58,1,0)</f>
        <v>1</v>
      </c>
    </row>
    <row r="59" customFormat="false" ht="15" hidden="false" customHeight="false" outlineLevel="0" collapsed="false">
      <c r="A59" s="12" t="s">
        <v>16</v>
      </c>
      <c r="B59" s="12" t="n">
        <v>0.3</v>
      </c>
      <c r="C59" s="12" t="s">
        <v>36</v>
      </c>
      <c r="D59" s="12" t="n">
        <f aca="false">AVERAGEIFS('Raw (GPT-5.1)'!$D:$D,'Raw (GPT-5.1)'!$A:$A,A59,'Raw (GPT-5.1)'!$B:$B,B59,'Raw (GPT-5.1)'!$C:$C,C59)</f>
        <v>45.9166666666667</v>
      </c>
      <c r="E59" s="12" t="n">
        <f aca="false">AVERAGEIFS('Raw (GPT-5.1)'!$D:$D,'Raw (GPT-5.1)'!$A:$A,"unfiltered",'Raw (GPT-5.1)'!$B:$B,B59,'Raw (GPT-5.1)'!$C:$C,C59)</f>
        <v>34.79</v>
      </c>
      <c r="F59" s="12" t="n">
        <f aca="false">IF(D59&gt;E59,1,0)</f>
        <v>1</v>
      </c>
    </row>
    <row r="60" customFormat="false" ht="15" hidden="false" customHeight="false" outlineLevel="0" collapsed="false">
      <c r="A60" s="12" t="s">
        <v>16</v>
      </c>
      <c r="B60" s="12" t="n">
        <v>0.3</v>
      </c>
      <c r="C60" s="12" t="s">
        <v>37</v>
      </c>
      <c r="D60" s="12" t="n">
        <f aca="false">AVERAGEIFS('Raw (GPT-5.1)'!$D:$D,'Raw (GPT-5.1)'!$A:$A,A60,'Raw (GPT-5.1)'!$B:$B,B60,'Raw (GPT-5.1)'!$C:$C,C60)</f>
        <v>80.1166666666667</v>
      </c>
      <c r="E60" s="12" t="n">
        <f aca="false">AVERAGEIFS('Raw (GPT-5.1)'!$D:$D,'Raw (GPT-5.1)'!$A:$A,"unfiltered",'Raw (GPT-5.1)'!$B:$B,B60,'Raw (GPT-5.1)'!$C:$C,C60)</f>
        <v>40.76</v>
      </c>
      <c r="F60" s="12" t="n">
        <f aca="false">IF(D60&gt;E60,1,0)</f>
        <v>1</v>
      </c>
    </row>
    <row r="61" customFormat="false" ht="15" hidden="false" customHeight="false" outlineLevel="0" collapsed="false">
      <c r="A61" s="12" t="s">
        <v>16</v>
      </c>
      <c r="B61" s="12" t="n">
        <v>0.3</v>
      </c>
      <c r="C61" s="12" t="s">
        <v>38</v>
      </c>
      <c r="D61" s="12" t="n">
        <f aca="false">AVERAGEIFS('Raw (GPT-5.1)'!$D:$D,'Raw (GPT-5.1)'!$A:$A,A61,'Raw (GPT-5.1)'!$B:$B,B61,'Raw (GPT-5.1)'!$C:$C,C61)</f>
        <v>63.2266666666667</v>
      </c>
      <c r="E61" s="12" t="n">
        <f aca="false">AVERAGEIFS('Raw (GPT-5.1)'!$D:$D,'Raw (GPT-5.1)'!$A:$A,"unfiltered",'Raw (GPT-5.1)'!$B:$B,B61,'Raw (GPT-5.1)'!$C:$C,C61)</f>
        <v>60.11</v>
      </c>
      <c r="F61" s="12" t="n">
        <f aca="false">IF(D61&gt;E61,1,0)</f>
        <v>1</v>
      </c>
    </row>
    <row r="62" customFormat="false" ht="15" hidden="false" customHeight="false" outlineLevel="0" collapsed="false">
      <c r="A62" s="12" t="s">
        <v>16</v>
      </c>
      <c r="B62" s="12" t="n">
        <v>0.3</v>
      </c>
      <c r="C62" s="12" t="s">
        <v>39</v>
      </c>
      <c r="D62" s="12" t="n">
        <f aca="false">AVERAGEIFS('Raw (GPT-5.1)'!$D:$D,'Raw (GPT-5.1)'!$A:$A,A62,'Raw (GPT-5.1)'!$B:$B,B62,'Raw (GPT-5.1)'!$C:$C,C62)</f>
        <v>64.9833333333333</v>
      </c>
      <c r="E62" s="12" t="n">
        <f aca="false">AVERAGEIFS('Raw (GPT-5.1)'!$D:$D,'Raw (GPT-5.1)'!$A:$A,"unfiltered",'Raw (GPT-5.1)'!$B:$B,B62,'Raw (GPT-5.1)'!$C:$C,C62)</f>
        <v>44.77</v>
      </c>
      <c r="F62" s="12" t="n">
        <f aca="false">IF(D62&gt;E62,1,0)</f>
        <v>1</v>
      </c>
    </row>
    <row r="63" customFormat="false" ht="15" hidden="false" customHeight="false" outlineLevel="0" collapsed="false">
      <c r="A63" s="12" t="s">
        <v>16</v>
      </c>
      <c r="B63" s="12" t="n">
        <v>0.3</v>
      </c>
      <c r="C63" s="12" t="s">
        <v>40</v>
      </c>
      <c r="D63" s="12" t="n">
        <f aca="false">AVERAGEIFS('Raw (GPT-5.1)'!$D:$D,'Raw (GPT-5.1)'!$A:$A,A63,'Raw (GPT-5.1)'!$B:$B,B63,'Raw (GPT-5.1)'!$C:$C,C63)</f>
        <v>106.795</v>
      </c>
      <c r="E63" s="12" t="n">
        <f aca="false">AVERAGEIFS('Raw (GPT-5.1)'!$D:$D,'Raw (GPT-5.1)'!$A:$A,"unfiltered",'Raw (GPT-5.1)'!$B:$B,B63,'Raw (GPT-5.1)'!$C:$C,C63)</f>
        <v>63.17</v>
      </c>
      <c r="F63" s="12" t="n">
        <f aca="false">IF(D63&gt;E63,1,0)</f>
        <v>1</v>
      </c>
    </row>
    <row r="64" customFormat="false" ht="15" hidden="false" customHeight="false" outlineLevel="0" collapsed="false">
      <c r="A64" s="12" t="s">
        <v>16</v>
      </c>
      <c r="B64" s="12" t="n">
        <v>0.3</v>
      </c>
      <c r="C64" s="12" t="s">
        <v>41</v>
      </c>
      <c r="D64" s="12" t="n">
        <f aca="false">AVERAGEIFS('Raw (GPT-5.1)'!$D:$D,'Raw (GPT-5.1)'!$A:$A,A64,'Raw (GPT-5.1)'!$B:$B,B64,'Raw (GPT-5.1)'!$C:$C,C64)</f>
        <v>42.37</v>
      </c>
      <c r="E64" s="12" t="n">
        <f aca="false">AVERAGEIFS('Raw (GPT-5.1)'!$D:$D,'Raw (GPT-5.1)'!$A:$A,"unfiltered",'Raw (GPT-5.1)'!$B:$B,B64,'Raw (GPT-5.1)'!$C:$C,C64)</f>
        <v>57.9</v>
      </c>
      <c r="F64" s="12" t="n">
        <f aca="false">IF(D64&gt;E64,1,0)</f>
        <v>0</v>
      </c>
    </row>
    <row r="65" customFormat="false" ht="15" hidden="false" customHeight="false" outlineLevel="0" collapsed="false">
      <c r="A65" s="12" t="s">
        <v>16</v>
      </c>
      <c r="B65" s="12" t="n">
        <v>0.4</v>
      </c>
      <c r="C65" s="12" t="s">
        <v>33</v>
      </c>
      <c r="D65" s="12" t="n">
        <f aca="false">AVERAGEIFS('Raw (GPT-5.1)'!$D:$D,'Raw (GPT-5.1)'!$A:$A,A65,'Raw (GPT-5.1)'!$B:$B,B65,'Raw (GPT-5.1)'!$C:$C,C65)</f>
        <v>35.14</v>
      </c>
      <c r="E65" s="12" t="n">
        <f aca="false">AVERAGEIFS('Raw (GPT-5.1)'!$D:$D,'Raw (GPT-5.1)'!$A:$A,"unfiltered",'Raw (GPT-5.1)'!$B:$B,B65,'Raw (GPT-5.1)'!$C:$C,C65)</f>
        <v>36.69</v>
      </c>
      <c r="F65" s="12" t="n">
        <f aca="false">IF(D65&gt;E65,1,0)</f>
        <v>0</v>
      </c>
    </row>
    <row r="66" customFormat="false" ht="15" hidden="false" customHeight="false" outlineLevel="0" collapsed="false">
      <c r="A66" s="12" t="s">
        <v>16</v>
      </c>
      <c r="B66" s="12" t="n">
        <v>0.4</v>
      </c>
      <c r="C66" s="12" t="s">
        <v>34</v>
      </c>
      <c r="D66" s="12" t="n">
        <f aca="false">AVERAGEIFS('Raw (GPT-5.1)'!$D:$D,'Raw (GPT-5.1)'!$A:$A,A66,'Raw (GPT-5.1)'!$B:$B,B66,'Raw (GPT-5.1)'!$C:$C,C66)</f>
        <v>52.145</v>
      </c>
      <c r="E66" s="12" t="n">
        <f aca="false">AVERAGEIFS('Raw (GPT-5.1)'!$D:$D,'Raw (GPT-5.1)'!$A:$A,"unfiltered",'Raw (GPT-5.1)'!$B:$B,B66,'Raw (GPT-5.1)'!$C:$C,C66)</f>
        <v>43.96</v>
      </c>
      <c r="F66" s="12" t="n">
        <f aca="false">IF(D66&gt;E66,1,0)</f>
        <v>1</v>
      </c>
    </row>
    <row r="67" customFormat="false" ht="15" hidden="false" customHeight="false" outlineLevel="0" collapsed="false">
      <c r="A67" s="12" t="s">
        <v>16</v>
      </c>
      <c r="B67" s="12" t="n">
        <v>0.4</v>
      </c>
      <c r="C67" s="12" t="s">
        <v>35</v>
      </c>
      <c r="D67" s="12" t="n">
        <f aca="false">AVERAGEIFS('Raw (GPT-5.1)'!$D:$D,'Raw (GPT-5.1)'!$A:$A,A67,'Raw (GPT-5.1)'!$B:$B,B67,'Raw (GPT-5.1)'!$C:$C,C67)</f>
        <v>52.6933333333333</v>
      </c>
      <c r="E67" s="12" t="n">
        <f aca="false">AVERAGEIFS('Raw (GPT-5.1)'!$D:$D,'Raw (GPT-5.1)'!$A:$A,"unfiltered",'Raw (GPT-5.1)'!$B:$B,B67,'Raw (GPT-5.1)'!$C:$C,C67)</f>
        <v>38.65</v>
      </c>
      <c r="F67" s="12" t="n">
        <f aca="false">IF(D67&gt;E67,1,0)</f>
        <v>1</v>
      </c>
    </row>
    <row r="68" customFormat="false" ht="15" hidden="false" customHeight="false" outlineLevel="0" collapsed="false">
      <c r="A68" s="12" t="s">
        <v>16</v>
      </c>
      <c r="B68" s="12" t="n">
        <v>0.4</v>
      </c>
      <c r="C68" s="12" t="s">
        <v>36</v>
      </c>
      <c r="D68" s="12" t="n">
        <f aca="false">AVERAGEIFS('Raw (GPT-5.1)'!$D:$D,'Raw (GPT-5.1)'!$A:$A,A68,'Raw (GPT-5.1)'!$B:$B,B68,'Raw (GPT-5.1)'!$C:$C,C68)</f>
        <v>56.8433333333333</v>
      </c>
      <c r="E68" s="12" t="n">
        <f aca="false">AVERAGEIFS('Raw (GPT-5.1)'!$D:$D,'Raw (GPT-5.1)'!$A:$A,"unfiltered",'Raw (GPT-5.1)'!$B:$B,B68,'Raw (GPT-5.1)'!$C:$C,C68)</f>
        <v>31.19</v>
      </c>
      <c r="F68" s="12" t="n">
        <f aca="false">IF(D68&gt;E68,1,0)</f>
        <v>1</v>
      </c>
    </row>
    <row r="69" customFormat="false" ht="15" hidden="false" customHeight="false" outlineLevel="0" collapsed="false">
      <c r="A69" s="12" t="s">
        <v>16</v>
      </c>
      <c r="B69" s="12" t="n">
        <v>0.4</v>
      </c>
      <c r="C69" s="12" t="s">
        <v>37</v>
      </c>
      <c r="D69" s="12" t="n">
        <f aca="false">AVERAGEIFS('Raw (GPT-5.1)'!$D:$D,'Raw (GPT-5.1)'!$A:$A,A69,'Raw (GPT-5.1)'!$B:$B,B69,'Raw (GPT-5.1)'!$C:$C,C69)</f>
        <v>58.835</v>
      </c>
      <c r="E69" s="12" t="n">
        <f aca="false">AVERAGEIFS('Raw (GPT-5.1)'!$D:$D,'Raw (GPT-5.1)'!$A:$A,"unfiltered",'Raw (GPT-5.1)'!$B:$B,B69,'Raw (GPT-5.1)'!$C:$C,C69)</f>
        <v>28.79</v>
      </c>
      <c r="F69" s="12" t="n">
        <f aca="false">IF(D69&gt;E69,1,0)</f>
        <v>1</v>
      </c>
    </row>
    <row r="70" customFormat="false" ht="15" hidden="false" customHeight="false" outlineLevel="0" collapsed="false">
      <c r="A70" s="12" t="s">
        <v>16</v>
      </c>
      <c r="B70" s="12" t="n">
        <v>0.4</v>
      </c>
      <c r="C70" s="12" t="s">
        <v>38</v>
      </c>
      <c r="D70" s="12" t="n">
        <f aca="false">AVERAGEIFS('Raw (GPT-5.1)'!$D:$D,'Raw (GPT-5.1)'!$A:$A,A70,'Raw (GPT-5.1)'!$B:$B,B70,'Raw (GPT-5.1)'!$C:$C,C70)</f>
        <v>63.9066666666667</v>
      </c>
      <c r="E70" s="12" t="n">
        <f aca="false">AVERAGEIFS('Raw (GPT-5.1)'!$D:$D,'Raw (GPT-5.1)'!$A:$A,"unfiltered",'Raw (GPT-5.1)'!$B:$B,B70,'Raw (GPT-5.1)'!$C:$C,C70)</f>
        <v>47.46</v>
      </c>
      <c r="F70" s="12" t="n">
        <f aca="false">IF(D70&gt;E70,1,0)</f>
        <v>1</v>
      </c>
    </row>
    <row r="71" customFormat="false" ht="15" hidden="false" customHeight="false" outlineLevel="0" collapsed="false">
      <c r="A71" s="12" t="s">
        <v>16</v>
      </c>
      <c r="B71" s="12" t="n">
        <v>0.4</v>
      </c>
      <c r="C71" s="12" t="s">
        <v>39</v>
      </c>
      <c r="D71" s="12" t="n">
        <f aca="false">AVERAGEIFS('Raw (GPT-5.1)'!$D:$D,'Raw (GPT-5.1)'!$A:$A,A71,'Raw (GPT-5.1)'!$B:$B,B71,'Raw (GPT-5.1)'!$C:$C,C71)</f>
        <v>73.2566666666667</v>
      </c>
      <c r="E71" s="12" t="n">
        <f aca="false">AVERAGEIFS('Raw (GPT-5.1)'!$D:$D,'Raw (GPT-5.1)'!$A:$A,"unfiltered",'Raw (GPT-5.1)'!$B:$B,B71,'Raw (GPT-5.1)'!$C:$C,C71)</f>
        <v>52.45</v>
      </c>
      <c r="F71" s="12" t="n">
        <f aca="false">IF(D71&gt;E71,1,0)</f>
        <v>1</v>
      </c>
    </row>
    <row r="72" customFormat="false" ht="15" hidden="false" customHeight="false" outlineLevel="0" collapsed="false">
      <c r="A72" s="12" t="s">
        <v>16</v>
      </c>
      <c r="B72" s="12" t="n">
        <v>0.4</v>
      </c>
      <c r="C72" s="12" t="s">
        <v>40</v>
      </c>
      <c r="D72" s="12" t="n">
        <f aca="false">AVERAGEIFS('Raw (GPT-5.1)'!$D:$D,'Raw (GPT-5.1)'!$A:$A,A72,'Raw (GPT-5.1)'!$B:$B,B72,'Raw (GPT-5.1)'!$C:$C,C72)</f>
        <v>91.93</v>
      </c>
      <c r="E72" s="12" t="n">
        <f aca="false">AVERAGEIFS('Raw (GPT-5.1)'!$D:$D,'Raw (GPT-5.1)'!$A:$A,"unfiltered",'Raw (GPT-5.1)'!$B:$B,B72,'Raw (GPT-5.1)'!$C:$C,C72)</f>
        <v>72.88</v>
      </c>
      <c r="F72" s="12" t="n">
        <f aca="false">IF(D72&gt;E72,1,0)</f>
        <v>1</v>
      </c>
    </row>
    <row r="73" customFormat="false" ht="15" hidden="false" customHeight="false" outlineLevel="0" collapsed="false">
      <c r="A73" s="12" t="s">
        <v>16</v>
      </c>
      <c r="B73" s="12" t="n">
        <v>0.4</v>
      </c>
      <c r="C73" s="12" t="s">
        <v>41</v>
      </c>
      <c r="D73" s="12" t="n">
        <f aca="false">AVERAGEIFS('Raw (GPT-5.1)'!$D:$D,'Raw (GPT-5.1)'!$A:$A,A73,'Raw (GPT-5.1)'!$B:$B,B73,'Raw (GPT-5.1)'!$C:$C,C73)</f>
        <v>49.72</v>
      </c>
      <c r="E73" s="12" t="n">
        <f aca="false">AVERAGEIFS('Raw (GPT-5.1)'!$D:$D,'Raw (GPT-5.1)'!$A:$A,"unfiltered",'Raw (GPT-5.1)'!$B:$B,B73,'Raw (GPT-5.1)'!$C:$C,C73)</f>
        <v>66.14</v>
      </c>
      <c r="F73" s="12" t="n">
        <f aca="false">IF(D73&gt;E73,1,0)</f>
        <v>0</v>
      </c>
    </row>
    <row r="74" customFormat="false" ht="15" hidden="false" customHeight="false" outlineLevel="0" collapsed="false">
      <c r="A74" s="12" t="s">
        <v>16</v>
      </c>
      <c r="B74" s="12" t="n">
        <v>0.5</v>
      </c>
      <c r="C74" s="12" t="s">
        <v>33</v>
      </c>
      <c r="D74" s="12" t="n">
        <f aca="false">AVERAGEIFS('Raw (GPT-5.1)'!$D:$D,'Raw (GPT-5.1)'!$A:$A,A74,'Raw (GPT-5.1)'!$B:$B,B74,'Raw (GPT-5.1)'!$C:$C,C74)</f>
        <v>39.46</v>
      </c>
      <c r="E74" s="12" t="n">
        <f aca="false">AVERAGEIFS('Raw (GPT-5.1)'!$D:$D,'Raw (GPT-5.1)'!$A:$A,"unfiltered",'Raw (GPT-5.1)'!$B:$B,B74,'Raw (GPT-5.1)'!$C:$C,C74)</f>
        <v>40.77</v>
      </c>
      <c r="F74" s="12" t="n">
        <f aca="false">IF(D74&gt;E74,1,0)</f>
        <v>0</v>
      </c>
    </row>
    <row r="75" customFormat="false" ht="15" hidden="false" customHeight="false" outlineLevel="0" collapsed="false">
      <c r="A75" s="12" t="s">
        <v>16</v>
      </c>
      <c r="B75" s="12" t="n">
        <v>0.5</v>
      </c>
      <c r="C75" s="12" t="s">
        <v>34</v>
      </c>
      <c r="D75" s="12" t="n">
        <f aca="false">AVERAGEIFS('Raw (GPT-5.1)'!$D:$D,'Raw (GPT-5.1)'!$A:$A,A75,'Raw (GPT-5.1)'!$B:$B,B75,'Raw (GPT-5.1)'!$C:$C,C75)</f>
        <v>52.61</v>
      </c>
      <c r="E75" s="12" t="n">
        <f aca="false">AVERAGEIFS('Raw (GPT-5.1)'!$D:$D,'Raw (GPT-5.1)'!$A:$A,"unfiltered",'Raw (GPT-5.1)'!$B:$B,B75,'Raw (GPT-5.1)'!$C:$C,C75)</f>
        <v>41.89</v>
      </c>
      <c r="F75" s="12" t="n">
        <f aca="false">IF(D75&gt;E75,1,0)</f>
        <v>1</v>
      </c>
    </row>
    <row r="76" customFormat="false" ht="15" hidden="false" customHeight="false" outlineLevel="0" collapsed="false">
      <c r="A76" s="12" t="s">
        <v>16</v>
      </c>
      <c r="B76" s="12" t="n">
        <v>0.5</v>
      </c>
      <c r="C76" s="12" t="s">
        <v>35</v>
      </c>
      <c r="D76" s="12" t="n">
        <f aca="false">AVERAGEIFS('Raw (GPT-5.1)'!$D:$D,'Raw (GPT-5.1)'!$A:$A,A76,'Raw (GPT-5.1)'!$B:$B,B76,'Raw (GPT-5.1)'!$C:$C,C76)</f>
        <v>51.9933333333333</v>
      </c>
      <c r="E76" s="12" t="n">
        <f aca="false">AVERAGEIFS('Raw (GPT-5.1)'!$D:$D,'Raw (GPT-5.1)'!$A:$A,"unfiltered",'Raw (GPT-5.1)'!$B:$B,B76,'Raw (GPT-5.1)'!$C:$C,C76)</f>
        <v>41.32</v>
      </c>
      <c r="F76" s="12" t="n">
        <f aca="false">IF(D76&gt;E76,1,0)</f>
        <v>1</v>
      </c>
    </row>
    <row r="77" customFormat="false" ht="15" hidden="false" customHeight="false" outlineLevel="0" collapsed="false">
      <c r="A77" s="12" t="s">
        <v>16</v>
      </c>
      <c r="B77" s="12" t="n">
        <v>0.5</v>
      </c>
      <c r="C77" s="12" t="s">
        <v>36</v>
      </c>
      <c r="D77" s="12" t="n">
        <f aca="false">AVERAGEIFS('Raw (GPT-5.1)'!$D:$D,'Raw (GPT-5.1)'!$A:$A,A77,'Raw (GPT-5.1)'!$B:$B,B77,'Raw (GPT-5.1)'!$C:$C,C77)</f>
        <v>51.3766666666667</v>
      </c>
      <c r="E77" s="12" t="n">
        <f aca="false">AVERAGEIFS('Raw (GPT-5.1)'!$D:$D,'Raw (GPT-5.1)'!$A:$A,"unfiltered",'Raw (GPT-5.1)'!$B:$B,B77,'Raw (GPT-5.1)'!$C:$C,C77)</f>
        <v>35.01</v>
      </c>
      <c r="F77" s="12" t="n">
        <f aca="false">IF(D77&gt;E77,1,0)</f>
        <v>1</v>
      </c>
    </row>
    <row r="78" customFormat="false" ht="15" hidden="false" customHeight="false" outlineLevel="0" collapsed="false">
      <c r="A78" s="12" t="s">
        <v>16</v>
      </c>
      <c r="B78" s="12" t="n">
        <v>0.5</v>
      </c>
      <c r="C78" s="12" t="s">
        <v>37</v>
      </c>
      <c r="D78" s="12" t="n">
        <f aca="false">AVERAGEIFS('Raw (GPT-5.1)'!$D:$D,'Raw (GPT-5.1)'!$A:$A,A78,'Raw (GPT-5.1)'!$B:$B,B78,'Raw (GPT-5.1)'!$C:$C,C78)</f>
        <v>64.1333333333333</v>
      </c>
      <c r="E78" s="12" t="n">
        <f aca="false">AVERAGEIFS('Raw (GPT-5.1)'!$D:$D,'Raw (GPT-5.1)'!$A:$A,"unfiltered",'Raw (GPT-5.1)'!$B:$B,B78,'Raw (GPT-5.1)'!$C:$C,C78)</f>
        <v>42.02</v>
      </c>
      <c r="F78" s="12" t="n">
        <f aca="false">IF(D78&gt;E78,1,0)</f>
        <v>1</v>
      </c>
    </row>
    <row r="79" customFormat="false" ht="15" hidden="false" customHeight="false" outlineLevel="0" collapsed="false">
      <c r="A79" s="12" t="s">
        <v>16</v>
      </c>
      <c r="B79" s="12" t="n">
        <v>0.5</v>
      </c>
      <c r="C79" s="12" t="s">
        <v>38</v>
      </c>
      <c r="D79" s="12" t="n">
        <f aca="false">AVERAGEIFS('Raw (GPT-5.1)'!$D:$D,'Raw (GPT-5.1)'!$A:$A,A79,'Raw (GPT-5.1)'!$B:$B,B79,'Raw (GPT-5.1)'!$C:$C,C79)</f>
        <v>75.4566666666667</v>
      </c>
      <c r="E79" s="12" t="n">
        <f aca="false">AVERAGEIFS('Raw (GPT-5.1)'!$D:$D,'Raw (GPT-5.1)'!$A:$A,"unfiltered",'Raw (GPT-5.1)'!$B:$B,B79,'Raw (GPT-5.1)'!$C:$C,C79)</f>
        <v>48.7</v>
      </c>
      <c r="F79" s="12" t="n">
        <f aca="false">IF(D79&gt;E79,1,0)</f>
        <v>1</v>
      </c>
    </row>
    <row r="80" customFormat="false" ht="15" hidden="false" customHeight="false" outlineLevel="0" collapsed="false">
      <c r="A80" s="12" t="s">
        <v>16</v>
      </c>
      <c r="B80" s="12" t="n">
        <v>0.5</v>
      </c>
      <c r="C80" s="12" t="s">
        <v>39</v>
      </c>
      <c r="D80" s="12" t="n">
        <f aca="false">AVERAGEIFS('Raw (GPT-5.1)'!$D:$D,'Raw (GPT-5.1)'!$A:$A,A80,'Raw (GPT-5.1)'!$B:$B,B80,'Raw (GPT-5.1)'!$C:$C,C80)</f>
        <v>62.92</v>
      </c>
      <c r="E80" s="12" t="n">
        <f aca="false">AVERAGEIFS('Raw (GPT-5.1)'!$D:$D,'Raw (GPT-5.1)'!$A:$A,"unfiltered",'Raw (GPT-5.1)'!$B:$B,B80,'Raw (GPT-5.1)'!$C:$C,C80)</f>
        <v>52.39</v>
      </c>
      <c r="F80" s="12" t="n">
        <f aca="false">IF(D80&gt;E80,1,0)</f>
        <v>1</v>
      </c>
    </row>
    <row r="81" customFormat="false" ht="15" hidden="false" customHeight="false" outlineLevel="0" collapsed="false">
      <c r="A81" s="12" t="s">
        <v>16</v>
      </c>
      <c r="B81" s="12" t="n">
        <v>0.5</v>
      </c>
      <c r="C81" s="12" t="s">
        <v>40</v>
      </c>
      <c r="D81" s="12" t="n">
        <f aca="false">AVERAGEIFS('Raw (GPT-5.1)'!$D:$D,'Raw (GPT-5.1)'!$A:$A,A81,'Raw (GPT-5.1)'!$B:$B,B81,'Raw (GPT-5.1)'!$C:$C,C81)</f>
        <v>105.055</v>
      </c>
      <c r="E81" s="12" t="n">
        <f aca="false">AVERAGEIFS('Raw (GPT-5.1)'!$D:$D,'Raw (GPT-5.1)'!$A:$A,"unfiltered",'Raw (GPT-5.1)'!$B:$B,B81,'Raw (GPT-5.1)'!$C:$C,C81)</f>
        <v>33.75</v>
      </c>
      <c r="F81" s="12" t="n">
        <f aca="false">IF(D81&gt;E81,1,0)</f>
        <v>1</v>
      </c>
    </row>
    <row r="82" customFormat="false" ht="15" hidden="false" customHeight="false" outlineLevel="0" collapsed="false">
      <c r="A82" s="12" t="s">
        <v>16</v>
      </c>
      <c r="B82" s="12" t="n">
        <v>0.5</v>
      </c>
      <c r="C82" s="12" t="s">
        <v>41</v>
      </c>
      <c r="D82" s="12" t="n">
        <f aca="false">AVERAGEIFS('Raw (GPT-5.1)'!$D:$D,'Raw (GPT-5.1)'!$A:$A,A82,'Raw (GPT-5.1)'!$B:$B,B82,'Raw (GPT-5.1)'!$C:$C,C82)</f>
        <v>64.6</v>
      </c>
      <c r="E82" s="12" t="n">
        <f aca="false">AVERAGEIFS('Raw (GPT-5.1)'!$D:$D,'Raw (GPT-5.1)'!$A:$A,"unfiltered",'Raw (GPT-5.1)'!$B:$B,B82,'Raw (GPT-5.1)'!$C:$C,C82)</f>
        <v>70.86</v>
      </c>
      <c r="F82" s="12" t="n">
        <f aca="false">IF(D82&gt;E82,1,0)</f>
        <v>0</v>
      </c>
    </row>
    <row r="83" customFormat="false" ht="15" hidden="false" customHeight="false" outlineLevel="0" collapsed="false">
      <c r="A83" s="12" t="s">
        <v>19</v>
      </c>
      <c r="B83" s="12" t="n">
        <v>0.3</v>
      </c>
      <c r="C83" s="12" t="s">
        <v>33</v>
      </c>
      <c r="D83" s="12" t="n">
        <f aca="false">AVERAGEIFS('Raw (GPT-5.1)'!$D:$D,'Raw (GPT-5.1)'!$A:$A,A83,'Raw (GPT-5.1)'!$B:$B,B83,'Raw (GPT-5.1)'!$C:$C,C83)</f>
        <v>42.3466666666667</v>
      </c>
      <c r="E83" s="12" t="n">
        <f aca="false">AVERAGEIFS('Raw (GPT-5.1)'!$D:$D,'Raw (GPT-5.1)'!$A:$A,"unfiltered",'Raw (GPT-5.1)'!$B:$B,B83,'Raw (GPT-5.1)'!$C:$C,C83)</f>
        <v>35.4</v>
      </c>
      <c r="F83" s="12" t="n">
        <f aca="false">IF(D83&gt;E83,1,0)</f>
        <v>1</v>
      </c>
    </row>
    <row r="84" customFormat="false" ht="15" hidden="false" customHeight="false" outlineLevel="0" collapsed="false">
      <c r="A84" s="12" t="s">
        <v>19</v>
      </c>
      <c r="B84" s="12" t="n">
        <v>0.3</v>
      </c>
      <c r="C84" s="12" t="s">
        <v>34</v>
      </c>
      <c r="D84" s="12" t="n">
        <f aca="false">AVERAGEIFS('Raw (GPT-5.1)'!$D:$D,'Raw (GPT-5.1)'!$A:$A,A84,'Raw (GPT-5.1)'!$B:$B,B84,'Raw (GPT-5.1)'!$C:$C,C84)</f>
        <v>54.2766666666667</v>
      </c>
      <c r="E84" s="12" t="n">
        <f aca="false">AVERAGEIFS('Raw (GPT-5.1)'!$D:$D,'Raw (GPT-5.1)'!$A:$A,"unfiltered",'Raw (GPT-5.1)'!$B:$B,B84,'Raw (GPT-5.1)'!$C:$C,C84)</f>
        <v>39.4</v>
      </c>
      <c r="F84" s="12" t="n">
        <f aca="false">IF(D84&gt;E84,1,0)</f>
        <v>1</v>
      </c>
    </row>
    <row r="85" customFormat="false" ht="15" hidden="false" customHeight="false" outlineLevel="0" collapsed="false">
      <c r="A85" s="12" t="s">
        <v>19</v>
      </c>
      <c r="B85" s="12" t="n">
        <v>0.3</v>
      </c>
      <c r="C85" s="12" t="s">
        <v>35</v>
      </c>
      <c r="D85" s="12" t="n">
        <f aca="false">AVERAGEIFS('Raw (GPT-5.1)'!$D:$D,'Raw (GPT-5.1)'!$A:$A,A85,'Raw (GPT-5.1)'!$B:$B,B85,'Raw (GPT-5.1)'!$C:$C,C85)</f>
        <v>46.47</v>
      </c>
      <c r="E85" s="12" t="n">
        <f aca="false">AVERAGEIFS('Raw (GPT-5.1)'!$D:$D,'Raw (GPT-5.1)'!$A:$A,"unfiltered",'Raw (GPT-5.1)'!$B:$B,B85,'Raw (GPT-5.1)'!$C:$C,C85)</f>
        <v>32.24</v>
      </c>
      <c r="F85" s="12" t="n">
        <f aca="false">IF(D85&gt;E85,1,0)</f>
        <v>1</v>
      </c>
    </row>
    <row r="86" customFormat="false" ht="15" hidden="false" customHeight="false" outlineLevel="0" collapsed="false">
      <c r="A86" s="12" t="s">
        <v>19</v>
      </c>
      <c r="B86" s="12" t="n">
        <v>0.3</v>
      </c>
      <c r="C86" s="12" t="s">
        <v>36</v>
      </c>
      <c r="D86" s="12" t="n">
        <f aca="false">AVERAGEIFS('Raw (GPT-5.1)'!$D:$D,'Raw (GPT-5.1)'!$A:$A,A86,'Raw (GPT-5.1)'!$B:$B,B86,'Raw (GPT-5.1)'!$C:$C,C86)</f>
        <v>48.0033333333333</v>
      </c>
      <c r="E86" s="12" t="n">
        <f aca="false">AVERAGEIFS('Raw (GPT-5.1)'!$D:$D,'Raw (GPT-5.1)'!$A:$A,"unfiltered",'Raw (GPT-5.1)'!$B:$B,B86,'Raw (GPT-5.1)'!$C:$C,C86)</f>
        <v>34.79</v>
      </c>
      <c r="F86" s="12" t="n">
        <f aca="false">IF(D86&gt;E86,1,0)</f>
        <v>1</v>
      </c>
    </row>
    <row r="87" customFormat="false" ht="15" hidden="false" customHeight="false" outlineLevel="0" collapsed="false">
      <c r="A87" s="12" t="s">
        <v>19</v>
      </c>
      <c r="B87" s="12" t="n">
        <v>0.3</v>
      </c>
      <c r="C87" s="12" t="s">
        <v>37</v>
      </c>
      <c r="D87" s="12" t="n">
        <f aca="false">AVERAGEIFS('Raw (GPT-5.1)'!$D:$D,'Raw (GPT-5.1)'!$A:$A,A87,'Raw (GPT-5.1)'!$B:$B,B87,'Raw (GPT-5.1)'!$C:$C,C87)</f>
        <v>44.8466666666667</v>
      </c>
      <c r="E87" s="12" t="n">
        <f aca="false">AVERAGEIFS('Raw (GPT-5.1)'!$D:$D,'Raw (GPT-5.1)'!$A:$A,"unfiltered",'Raw (GPT-5.1)'!$B:$B,B87,'Raw (GPT-5.1)'!$C:$C,C87)</f>
        <v>40.76</v>
      </c>
      <c r="F87" s="12" t="n">
        <f aca="false">IF(D87&gt;E87,1,0)</f>
        <v>1</v>
      </c>
    </row>
    <row r="88" customFormat="false" ht="15" hidden="false" customHeight="false" outlineLevel="0" collapsed="false">
      <c r="A88" s="12" t="s">
        <v>19</v>
      </c>
      <c r="B88" s="12" t="n">
        <v>0.3</v>
      </c>
      <c r="C88" s="12" t="s">
        <v>38</v>
      </c>
      <c r="D88" s="12" t="n">
        <f aca="false">AVERAGEIFS('Raw (GPT-5.1)'!$D:$D,'Raw (GPT-5.1)'!$A:$A,A88,'Raw (GPT-5.1)'!$B:$B,B88,'Raw (GPT-5.1)'!$C:$C,C88)</f>
        <v>73.6233333333333</v>
      </c>
      <c r="E88" s="12" t="n">
        <f aca="false">AVERAGEIFS('Raw (GPT-5.1)'!$D:$D,'Raw (GPT-5.1)'!$A:$A,"unfiltered",'Raw (GPT-5.1)'!$B:$B,B88,'Raw (GPT-5.1)'!$C:$C,C88)</f>
        <v>60.11</v>
      </c>
      <c r="F88" s="12" t="n">
        <f aca="false">IF(D88&gt;E88,1,0)</f>
        <v>1</v>
      </c>
    </row>
    <row r="89" customFormat="false" ht="15" hidden="false" customHeight="false" outlineLevel="0" collapsed="false">
      <c r="A89" s="12" t="s">
        <v>19</v>
      </c>
      <c r="B89" s="12" t="n">
        <v>0.3</v>
      </c>
      <c r="C89" s="12" t="s">
        <v>39</v>
      </c>
      <c r="D89" s="12" t="n">
        <f aca="false">AVERAGEIFS('Raw (GPT-5.1)'!$D:$D,'Raw (GPT-5.1)'!$A:$A,A89,'Raw (GPT-5.1)'!$B:$B,B89,'Raw (GPT-5.1)'!$C:$C,C89)</f>
        <v>56.5666666666667</v>
      </c>
      <c r="E89" s="12" t="n">
        <f aca="false">AVERAGEIFS('Raw (GPT-5.1)'!$D:$D,'Raw (GPT-5.1)'!$A:$A,"unfiltered",'Raw (GPT-5.1)'!$B:$B,B89,'Raw (GPT-5.1)'!$C:$C,C89)</f>
        <v>44.77</v>
      </c>
      <c r="F89" s="12" t="n">
        <f aca="false">IF(D89&gt;E89,1,0)</f>
        <v>1</v>
      </c>
    </row>
    <row r="90" customFormat="false" ht="15" hidden="false" customHeight="false" outlineLevel="0" collapsed="false">
      <c r="A90" s="12" t="s">
        <v>19</v>
      </c>
      <c r="B90" s="12" t="n">
        <v>0.3</v>
      </c>
      <c r="C90" s="12" t="s">
        <v>40</v>
      </c>
      <c r="D90" s="12" t="n">
        <f aca="false">AVERAGEIFS('Raw (GPT-5.1)'!$D:$D,'Raw (GPT-5.1)'!$A:$A,A90,'Raw (GPT-5.1)'!$B:$B,B90,'Raw (GPT-5.1)'!$C:$C,C90)</f>
        <v>94.675</v>
      </c>
      <c r="E90" s="12" t="n">
        <f aca="false">AVERAGEIFS('Raw (GPT-5.1)'!$D:$D,'Raw (GPT-5.1)'!$A:$A,"unfiltered",'Raw (GPT-5.1)'!$B:$B,B90,'Raw (GPT-5.1)'!$C:$C,C90)</f>
        <v>63.17</v>
      </c>
      <c r="F90" s="12" t="n">
        <f aca="false">IF(D90&gt;E90,1,0)</f>
        <v>1</v>
      </c>
    </row>
    <row r="91" customFormat="false" ht="15" hidden="false" customHeight="false" outlineLevel="0" collapsed="false">
      <c r="A91" s="12" t="s">
        <v>19</v>
      </c>
      <c r="B91" s="12" t="n">
        <v>0.3</v>
      </c>
      <c r="C91" s="12" t="s">
        <v>41</v>
      </c>
      <c r="D91" s="12" t="n">
        <f aca="false">AVERAGEIFS('Raw (GPT-5.1)'!$D:$D,'Raw (GPT-5.1)'!$A:$A,A91,'Raw (GPT-5.1)'!$B:$B,B91,'Raw (GPT-5.1)'!$C:$C,C91)</f>
        <v>13.595</v>
      </c>
      <c r="E91" s="12" t="n">
        <f aca="false">AVERAGEIFS('Raw (GPT-5.1)'!$D:$D,'Raw (GPT-5.1)'!$A:$A,"unfiltered",'Raw (GPT-5.1)'!$B:$B,B91,'Raw (GPT-5.1)'!$C:$C,C91)</f>
        <v>57.9</v>
      </c>
      <c r="F91" s="12" t="n">
        <f aca="false">IF(D91&gt;E91,1,0)</f>
        <v>0</v>
      </c>
    </row>
    <row r="92" customFormat="false" ht="15" hidden="false" customHeight="false" outlineLevel="0" collapsed="false">
      <c r="A92" s="12" t="s">
        <v>19</v>
      </c>
      <c r="B92" s="12" t="n">
        <v>0.4</v>
      </c>
      <c r="C92" s="12" t="s">
        <v>33</v>
      </c>
      <c r="D92" s="12" t="n">
        <f aca="false">AVERAGEIFS('Raw (GPT-5.1)'!$D:$D,'Raw (GPT-5.1)'!$A:$A,A92,'Raw (GPT-5.1)'!$B:$B,B92,'Raw (GPT-5.1)'!$C:$C,C92)</f>
        <v>46.2966666666667</v>
      </c>
      <c r="E92" s="12" t="n">
        <f aca="false">AVERAGEIFS('Raw (GPT-5.1)'!$D:$D,'Raw (GPT-5.1)'!$A:$A,"unfiltered",'Raw (GPT-5.1)'!$B:$B,B92,'Raw (GPT-5.1)'!$C:$C,C92)</f>
        <v>36.69</v>
      </c>
      <c r="F92" s="12" t="n">
        <f aca="false">IF(D92&gt;E92,1,0)</f>
        <v>1</v>
      </c>
    </row>
    <row r="93" customFormat="false" ht="15" hidden="false" customHeight="false" outlineLevel="0" collapsed="false">
      <c r="A93" s="12" t="s">
        <v>19</v>
      </c>
      <c r="B93" s="12" t="n">
        <v>0.4</v>
      </c>
      <c r="C93" s="12" t="s">
        <v>34</v>
      </c>
      <c r="D93" s="12" t="n">
        <f aca="false">AVERAGEIFS('Raw (GPT-5.1)'!$D:$D,'Raw (GPT-5.1)'!$A:$A,A93,'Raw (GPT-5.1)'!$B:$B,B93,'Raw (GPT-5.1)'!$C:$C,C93)</f>
        <v>51.8666666666667</v>
      </c>
      <c r="E93" s="12" t="n">
        <f aca="false">AVERAGEIFS('Raw (GPT-5.1)'!$D:$D,'Raw (GPT-5.1)'!$A:$A,"unfiltered",'Raw (GPT-5.1)'!$B:$B,B93,'Raw (GPT-5.1)'!$C:$C,C93)</f>
        <v>43.96</v>
      </c>
      <c r="F93" s="12" t="n">
        <f aca="false">IF(D93&gt;E93,1,0)</f>
        <v>1</v>
      </c>
    </row>
    <row r="94" customFormat="false" ht="15" hidden="false" customHeight="false" outlineLevel="0" collapsed="false">
      <c r="A94" s="12" t="s">
        <v>19</v>
      </c>
      <c r="B94" s="12" t="n">
        <v>0.4</v>
      </c>
      <c r="C94" s="12" t="s">
        <v>35</v>
      </c>
      <c r="D94" s="12" t="n">
        <f aca="false">AVERAGEIFS('Raw (GPT-5.1)'!$D:$D,'Raw (GPT-5.1)'!$A:$A,A94,'Raw (GPT-5.1)'!$B:$B,B94,'Raw (GPT-5.1)'!$C:$C,C94)</f>
        <v>40.6333333333333</v>
      </c>
      <c r="E94" s="12" t="n">
        <f aca="false">AVERAGEIFS('Raw (GPT-5.1)'!$D:$D,'Raw (GPT-5.1)'!$A:$A,"unfiltered",'Raw (GPT-5.1)'!$B:$B,B94,'Raw (GPT-5.1)'!$C:$C,C94)</f>
        <v>38.65</v>
      </c>
      <c r="F94" s="12" t="n">
        <f aca="false">IF(D94&gt;E94,1,0)</f>
        <v>1</v>
      </c>
    </row>
    <row r="95" customFormat="false" ht="15" hidden="false" customHeight="false" outlineLevel="0" collapsed="false">
      <c r="A95" s="12" t="s">
        <v>19</v>
      </c>
      <c r="B95" s="12" t="n">
        <v>0.4</v>
      </c>
      <c r="C95" s="12" t="s">
        <v>36</v>
      </c>
      <c r="D95" s="12" t="n">
        <f aca="false">AVERAGEIFS('Raw (GPT-5.1)'!$D:$D,'Raw (GPT-5.1)'!$A:$A,A95,'Raw (GPT-5.1)'!$B:$B,B95,'Raw (GPT-5.1)'!$C:$C,C95)</f>
        <v>46.8533333333333</v>
      </c>
      <c r="E95" s="12" t="n">
        <f aca="false">AVERAGEIFS('Raw (GPT-5.1)'!$D:$D,'Raw (GPT-5.1)'!$A:$A,"unfiltered",'Raw (GPT-5.1)'!$B:$B,B95,'Raw (GPT-5.1)'!$C:$C,C95)</f>
        <v>31.19</v>
      </c>
      <c r="F95" s="12" t="n">
        <f aca="false">IF(D95&gt;E95,1,0)</f>
        <v>1</v>
      </c>
    </row>
    <row r="96" customFormat="false" ht="15" hidden="false" customHeight="false" outlineLevel="0" collapsed="false">
      <c r="A96" s="12" t="s">
        <v>19</v>
      </c>
      <c r="B96" s="12" t="n">
        <v>0.4</v>
      </c>
      <c r="C96" s="12" t="s">
        <v>37</v>
      </c>
      <c r="D96" s="12" t="n">
        <f aca="false">AVERAGEIFS('Raw (GPT-5.1)'!$D:$D,'Raw (GPT-5.1)'!$A:$A,A96,'Raw (GPT-5.1)'!$B:$B,B96,'Raw (GPT-5.1)'!$C:$C,C96)</f>
        <v>50.7166666666667</v>
      </c>
      <c r="E96" s="12" t="n">
        <f aca="false">AVERAGEIFS('Raw (GPT-5.1)'!$D:$D,'Raw (GPT-5.1)'!$A:$A,"unfiltered",'Raw (GPT-5.1)'!$B:$B,B96,'Raw (GPT-5.1)'!$C:$C,C96)</f>
        <v>28.79</v>
      </c>
      <c r="F96" s="12" t="n">
        <f aca="false">IF(D96&gt;E96,1,0)</f>
        <v>1</v>
      </c>
    </row>
    <row r="97" customFormat="false" ht="15" hidden="false" customHeight="false" outlineLevel="0" collapsed="false">
      <c r="A97" s="12" t="s">
        <v>19</v>
      </c>
      <c r="B97" s="12" t="n">
        <v>0.4</v>
      </c>
      <c r="C97" s="12" t="s">
        <v>38</v>
      </c>
      <c r="D97" s="12" t="n">
        <f aca="false">AVERAGEIFS('Raw (GPT-5.1)'!$D:$D,'Raw (GPT-5.1)'!$A:$A,A97,'Raw (GPT-5.1)'!$B:$B,B97,'Raw (GPT-5.1)'!$C:$C,C97)</f>
        <v>55.385</v>
      </c>
      <c r="E97" s="12" t="n">
        <f aca="false">AVERAGEIFS('Raw (GPT-5.1)'!$D:$D,'Raw (GPT-5.1)'!$A:$A,"unfiltered",'Raw (GPT-5.1)'!$B:$B,B97,'Raw (GPT-5.1)'!$C:$C,C97)</f>
        <v>47.46</v>
      </c>
      <c r="F97" s="12" t="n">
        <f aca="false">IF(D97&gt;E97,1,0)</f>
        <v>1</v>
      </c>
    </row>
    <row r="98" customFormat="false" ht="15" hidden="false" customHeight="false" outlineLevel="0" collapsed="false">
      <c r="A98" s="12" t="s">
        <v>19</v>
      </c>
      <c r="B98" s="12" t="n">
        <v>0.4</v>
      </c>
      <c r="C98" s="12" t="s">
        <v>39</v>
      </c>
      <c r="D98" s="12" t="n">
        <f aca="false">AVERAGEIFS('Raw (GPT-5.1)'!$D:$D,'Raw (GPT-5.1)'!$A:$A,A98,'Raw (GPT-5.1)'!$B:$B,B98,'Raw (GPT-5.1)'!$C:$C,C98)</f>
        <v>82.4266666666667</v>
      </c>
      <c r="E98" s="12" t="n">
        <f aca="false">AVERAGEIFS('Raw (GPT-5.1)'!$D:$D,'Raw (GPT-5.1)'!$A:$A,"unfiltered",'Raw (GPT-5.1)'!$B:$B,B98,'Raw (GPT-5.1)'!$C:$C,C98)</f>
        <v>52.45</v>
      </c>
      <c r="F98" s="12" t="n">
        <f aca="false">IF(D98&gt;E98,1,0)</f>
        <v>1</v>
      </c>
    </row>
    <row r="99" customFormat="false" ht="15" hidden="false" customHeight="false" outlineLevel="0" collapsed="false">
      <c r="A99" s="12" t="s">
        <v>19</v>
      </c>
      <c r="B99" s="12" t="n">
        <v>0.4</v>
      </c>
      <c r="C99" s="12" t="s">
        <v>40</v>
      </c>
      <c r="D99" s="12" t="n">
        <f aca="false">AVERAGEIFS('Raw (GPT-5.1)'!$D:$D,'Raw (GPT-5.1)'!$A:$A,A99,'Raw (GPT-5.1)'!$B:$B,B99,'Raw (GPT-5.1)'!$C:$C,C99)</f>
        <v>61.815</v>
      </c>
      <c r="E99" s="12" t="n">
        <f aca="false">AVERAGEIFS('Raw (GPT-5.1)'!$D:$D,'Raw (GPT-5.1)'!$A:$A,"unfiltered",'Raw (GPT-5.1)'!$B:$B,B99,'Raw (GPT-5.1)'!$C:$C,C99)</f>
        <v>72.88</v>
      </c>
      <c r="F99" s="12" t="n">
        <f aca="false">IF(D99&gt;E99,1,0)</f>
        <v>0</v>
      </c>
    </row>
    <row r="100" customFormat="false" ht="15" hidden="false" customHeight="false" outlineLevel="0" collapsed="false">
      <c r="A100" s="12" t="s">
        <v>19</v>
      </c>
      <c r="B100" s="12" t="n">
        <v>0.4</v>
      </c>
      <c r="C100" s="12" t="s">
        <v>41</v>
      </c>
      <c r="D100" s="12" t="n">
        <f aca="false">AVERAGEIFS('Raw (GPT-5.1)'!$D:$D,'Raw (GPT-5.1)'!$A:$A,A100,'Raw (GPT-5.1)'!$B:$B,B100,'Raw (GPT-5.1)'!$C:$C,C100)</f>
        <v>-23.06</v>
      </c>
      <c r="E100" s="12" t="n">
        <f aca="false">AVERAGEIFS('Raw (GPT-5.1)'!$D:$D,'Raw (GPT-5.1)'!$A:$A,"unfiltered",'Raw (GPT-5.1)'!$B:$B,B100,'Raw (GPT-5.1)'!$C:$C,C100)</f>
        <v>66.14</v>
      </c>
      <c r="F100" s="12" t="n">
        <f aca="false">IF(D100&gt;E100,1,0)</f>
        <v>0</v>
      </c>
    </row>
    <row r="101" customFormat="false" ht="15" hidden="false" customHeight="false" outlineLevel="0" collapsed="false">
      <c r="A101" s="12" t="s">
        <v>19</v>
      </c>
      <c r="B101" s="12" t="n">
        <v>0.5</v>
      </c>
      <c r="C101" s="12" t="s">
        <v>33</v>
      </c>
      <c r="D101" s="12" t="n">
        <f aca="false">AVERAGEIFS('Raw (GPT-5.1)'!$D:$D,'Raw (GPT-5.1)'!$A:$A,A101,'Raw (GPT-5.1)'!$B:$B,B101,'Raw (GPT-5.1)'!$C:$C,C101)</f>
        <v>36.4933333333333</v>
      </c>
      <c r="E101" s="12" t="n">
        <f aca="false">AVERAGEIFS('Raw (GPT-5.1)'!$D:$D,'Raw (GPT-5.1)'!$A:$A,"unfiltered",'Raw (GPT-5.1)'!$B:$B,B101,'Raw (GPT-5.1)'!$C:$C,C101)</f>
        <v>40.77</v>
      </c>
      <c r="F101" s="12" t="n">
        <f aca="false">IF(D101&gt;E101,1,0)</f>
        <v>0</v>
      </c>
    </row>
    <row r="102" customFormat="false" ht="15" hidden="false" customHeight="false" outlineLevel="0" collapsed="false">
      <c r="A102" s="12" t="s">
        <v>19</v>
      </c>
      <c r="B102" s="12" t="n">
        <v>0.5</v>
      </c>
      <c r="C102" s="12" t="s">
        <v>34</v>
      </c>
      <c r="D102" s="12" t="n">
        <f aca="false">AVERAGEIFS('Raw (GPT-5.1)'!$D:$D,'Raw (GPT-5.1)'!$A:$A,A102,'Raw (GPT-5.1)'!$B:$B,B102,'Raw (GPT-5.1)'!$C:$C,C102)</f>
        <v>46.22</v>
      </c>
      <c r="E102" s="12" t="n">
        <f aca="false">AVERAGEIFS('Raw (GPT-5.1)'!$D:$D,'Raw (GPT-5.1)'!$A:$A,"unfiltered",'Raw (GPT-5.1)'!$B:$B,B102,'Raw (GPT-5.1)'!$C:$C,C102)</f>
        <v>41.89</v>
      </c>
      <c r="F102" s="12" t="n">
        <f aca="false">IF(D102&gt;E102,1,0)</f>
        <v>1</v>
      </c>
    </row>
    <row r="103" customFormat="false" ht="15" hidden="false" customHeight="false" outlineLevel="0" collapsed="false">
      <c r="A103" s="12" t="s">
        <v>19</v>
      </c>
      <c r="B103" s="12" t="n">
        <v>0.5</v>
      </c>
      <c r="C103" s="12" t="s">
        <v>35</v>
      </c>
      <c r="D103" s="12" t="n">
        <f aca="false">AVERAGEIFS('Raw (GPT-5.1)'!$D:$D,'Raw (GPT-5.1)'!$A:$A,A103,'Raw (GPT-5.1)'!$B:$B,B103,'Raw (GPT-5.1)'!$C:$C,C103)</f>
        <v>35.4</v>
      </c>
      <c r="E103" s="12" t="n">
        <f aca="false">AVERAGEIFS('Raw (GPT-5.1)'!$D:$D,'Raw (GPT-5.1)'!$A:$A,"unfiltered",'Raw (GPT-5.1)'!$B:$B,B103,'Raw (GPT-5.1)'!$C:$C,C103)</f>
        <v>41.32</v>
      </c>
      <c r="F103" s="12" t="n">
        <f aca="false">IF(D103&gt;E103,1,0)</f>
        <v>0</v>
      </c>
    </row>
    <row r="104" customFormat="false" ht="15" hidden="false" customHeight="false" outlineLevel="0" collapsed="false">
      <c r="A104" s="12" t="s">
        <v>19</v>
      </c>
      <c r="B104" s="12" t="n">
        <v>0.5</v>
      </c>
      <c r="C104" s="12" t="s">
        <v>36</v>
      </c>
      <c r="D104" s="12" t="n">
        <f aca="false">AVERAGEIFS('Raw (GPT-5.1)'!$D:$D,'Raw (GPT-5.1)'!$A:$A,A104,'Raw (GPT-5.1)'!$B:$B,B104,'Raw (GPT-5.1)'!$C:$C,C104)</f>
        <v>39.3733333333333</v>
      </c>
      <c r="E104" s="12" t="n">
        <f aca="false">AVERAGEIFS('Raw (GPT-5.1)'!$D:$D,'Raw (GPT-5.1)'!$A:$A,"unfiltered",'Raw (GPT-5.1)'!$B:$B,B104,'Raw (GPT-5.1)'!$C:$C,C104)</f>
        <v>35.01</v>
      </c>
      <c r="F104" s="12" t="n">
        <f aca="false">IF(D104&gt;E104,1,0)</f>
        <v>1</v>
      </c>
    </row>
    <row r="105" customFormat="false" ht="15" hidden="false" customHeight="false" outlineLevel="0" collapsed="false">
      <c r="A105" s="12" t="s">
        <v>19</v>
      </c>
      <c r="B105" s="12" t="n">
        <v>0.5</v>
      </c>
      <c r="C105" s="12" t="s">
        <v>37</v>
      </c>
      <c r="D105" s="12" t="n">
        <f aca="false">AVERAGEIFS('Raw (GPT-5.1)'!$D:$D,'Raw (GPT-5.1)'!$A:$A,A105,'Raw (GPT-5.1)'!$B:$B,B105,'Raw (GPT-5.1)'!$C:$C,C105)</f>
        <v>39.7466666666667</v>
      </c>
      <c r="E105" s="12" t="n">
        <f aca="false">AVERAGEIFS('Raw (GPT-5.1)'!$D:$D,'Raw (GPT-5.1)'!$A:$A,"unfiltered",'Raw (GPT-5.1)'!$B:$B,B105,'Raw (GPT-5.1)'!$C:$C,C105)</f>
        <v>42.02</v>
      </c>
      <c r="F105" s="12" t="n">
        <f aca="false">IF(D105&gt;E105,1,0)</f>
        <v>0</v>
      </c>
    </row>
    <row r="106" customFormat="false" ht="15" hidden="false" customHeight="false" outlineLevel="0" collapsed="false">
      <c r="A106" s="12" t="s">
        <v>19</v>
      </c>
      <c r="B106" s="12" t="n">
        <v>0.5</v>
      </c>
      <c r="C106" s="12" t="s">
        <v>38</v>
      </c>
      <c r="D106" s="12" t="n">
        <f aca="false">AVERAGEIFS('Raw (GPT-5.1)'!$D:$D,'Raw (GPT-5.1)'!$A:$A,A106,'Raw (GPT-5.1)'!$B:$B,B106,'Raw (GPT-5.1)'!$C:$C,C106)</f>
        <v>84.88</v>
      </c>
      <c r="E106" s="12" t="n">
        <f aca="false">AVERAGEIFS('Raw (GPT-5.1)'!$D:$D,'Raw (GPT-5.1)'!$A:$A,"unfiltered",'Raw (GPT-5.1)'!$B:$B,B106,'Raw (GPT-5.1)'!$C:$C,C106)</f>
        <v>48.7</v>
      </c>
      <c r="F106" s="12" t="n">
        <f aca="false">IF(D106&gt;E106,1,0)</f>
        <v>1</v>
      </c>
    </row>
    <row r="107" customFormat="false" ht="15" hidden="false" customHeight="false" outlineLevel="0" collapsed="false">
      <c r="A107" s="12" t="s">
        <v>19</v>
      </c>
      <c r="B107" s="12" t="n">
        <v>0.5</v>
      </c>
      <c r="C107" s="12" t="s">
        <v>39</v>
      </c>
      <c r="D107" s="12" t="n">
        <f aca="false">AVERAGEIFS('Raw (GPT-5.1)'!$D:$D,'Raw (GPT-5.1)'!$A:$A,A107,'Raw (GPT-5.1)'!$B:$B,B107,'Raw (GPT-5.1)'!$C:$C,C107)</f>
        <v>68.8033333333333</v>
      </c>
      <c r="E107" s="12" t="n">
        <f aca="false">AVERAGEIFS('Raw (GPT-5.1)'!$D:$D,'Raw (GPT-5.1)'!$A:$A,"unfiltered",'Raw (GPT-5.1)'!$B:$B,B107,'Raw (GPT-5.1)'!$C:$C,C107)</f>
        <v>52.39</v>
      </c>
      <c r="F107" s="12" t="n">
        <f aca="false">IF(D107&gt;E107,1,0)</f>
        <v>1</v>
      </c>
    </row>
    <row r="108" customFormat="false" ht="15" hidden="false" customHeight="false" outlineLevel="0" collapsed="false">
      <c r="A108" s="12" t="s">
        <v>19</v>
      </c>
      <c r="B108" s="12" t="n">
        <v>0.5</v>
      </c>
      <c r="C108" s="12" t="s">
        <v>40</v>
      </c>
      <c r="D108" s="12" t="n">
        <f aca="false">AVERAGEIFS('Raw (GPT-5.1)'!$D:$D,'Raw (GPT-5.1)'!$A:$A,A108,'Raw (GPT-5.1)'!$B:$B,B108,'Raw (GPT-5.1)'!$C:$C,C108)</f>
        <v>96.115</v>
      </c>
      <c r="E108" s="12" t="n">
        <f aca="false">AVERAGEIFS('Raw (GPT-5.1)'!$D:$D,'Raw (GPT-5.1)'!$A:$A,"unfiltered",'Raw (GPT-5.1)'!$B:$B,B108,'Raw (GPT-5.1)'!$C:$C,C108)</f>
        <v>33.75</v>
      </c>
      <c r="F108" s="12" t="n">
        <f aca="false">IF(D108&gt;E108,1,0)</f>
        <v>1</v>
      </c>
    </row>
    <row r="109" customFormat="false" ht="15" hidden="false" customHeight="false" outlineLevel="0" collapsed="false">
      <c r="A109" s="12" t="s">
        <v>19</v>
      </c>
      <c r="B109" s="12" t="n">
        <v>0.5</v>
      </c>
      <c r="C109" s="12" t="s">
        <v>41</v>
      </c>
      <c r="D109" s="12" t="n">
        <f aca="false">AVERAGEIFS('Raw (GPT-5.1)'!$D:$D,'Raw (GPT-5.1)'!$A:$A,A109,'Raw (GPT-5.1)'!$B:$B,B109,'Raw (GPT-5.1)'!$C:$C,C109)</f>
        <v>-26.61</v>
      </c>
      <c r="E109" s="12" t="n">
        <f aca="false">AVERAGEIFS('Raw (GPT-5.1)'!$D:$D,'Raw (GPT-5.1)'!$A:$A,"unfiltered",'Raw (GPT-5.1)'!$B:$B,B109,'Raw (GPT-5.1)'!$C:$C,C109)</f>
        <v>70.86</v>
      </c>
      <c r="F109" s="12" t="n">
        <f aca="false">IF(D109&gt;E109,1,0)</f>
        <v>0</v>
      </c>
    </row>
    <row r="110" customFormat="false" ht="15" hidden="false" customHeight="false" outlineLevel="0" collapsed="false">
      <c r="A110" s="12" t="s">
        <v>25</v>
      </c>
      <c r="B110" s="12" t="n">
        <v>0.3</v>
      </c>
      <c r="C110" s="12" t="s">
        <v>33</v>
      </c>
      <c r="D110" s="12" t="n">
        <f aca="false">AVERAGEIFS('Raw (GPT-5.1)'!$D:$D,'Raw (GPT-5.1)'!$A:$A,A110,'Raw (GPT-5.1)'!$B:$B,B110,'Raw (GPT-5.1)'!$C:$C,C110)</f>
        <v>46.0566666666667</v>
      </c>
      <c r="E110" s="12" t="n">
        <f aca="false">AVERAGEIFS('Raw (GPT-5.1)'!$D:$D,'Raw (GPT-5.1)'!$A:$A,"unfiltered",'Raw (GPT-5.1)'!$B:$B,B110,'Raw (GPT-5.1)'!$C:$C,C110)</f>
        <v>35.4</v>
      </c>
      <c r="F110" s="12" t="n">
        <f aca="false">IF(D110&gt;E110,1,0)</f>
        <v>1</v>
      </c>
    </row>
    <row r="111" customFormat="false" ht="15" hidden="false" customHeight="false" outlineLevel="0" collapsed="false">
      <c r="A111" s="12" t="s">
        <v>25</v>
      </c>
      <c r="B111" s="12" t="n">
        <v>0.3</v>
      </c>
      <c r="C111" s="12" t="s">
        <v>34</v>
      </c>
      <c r="D111" s="12" t="n">
        <f aca="false">AVERAGEIFS('Raw (GPT-5.1)'!$D:$D,'Raw (GPT-5.1)'!$A:$A,A111,'Raw (GPT-5.1)'!$B:$B,B111,'Raw (GPT-5.1)'!$C:$C,C111)</f>
        <v>59.66</v>
      </c>
      <c r="E111" s="12" t="n">
        <f aca="false">AVERAGEIFS('Raw (GPT-5.1)'!$D:$D,'Raw (GPT-5.1)'!$A:$A,"unfiltered",'Raw (GPT-5.1)'!$B:$B,B111,'Raw (GPT-5.1)'!$C:$C,C111)</f>
        <v>39.4</v>
      </c>
      <c r="F111" s="12" t="n">
        <f aca="false">IF(D111&gt;E111,1,0)</f>
        <v>1</v>
      </c>
    </row>
    <row r="112" customFormat="false" ht="15" hidden="false" customHeight="false" outlineLevel="0" collapsed="false">
      <c r="A112" s="12" t="s">
        <v>25</v>
      </c>
      <c r="B112" s="12" t="n">
        <v>0.3</v>
      </c>
      <c r="C112" s="12" t="s">
        <v>35</v>
      </c>
      <c r="D112" s="12" t="n">
        <f aca="false">AVERAGEIFS('Raw (GPT-5.1)'!$D:$D,'Raw (GPT-5.1)'!$A:$A,A112,'Raw (GPT-5.1)'!$B:$B,B112,'Raw (GPT-5.1)'!$C:$C,C112)</f>
        <v>53.5566666666667</v>
      </c>
      <c r="E112" s="12" t="n">
        <f aca="false">AVERAGEIFS('Raw (GPT-5.1)'!$D:$D,'Raw (GPT-5.1)'!$A:$A,"unfiltered",'Raw (GPT-5.1)'!$B:$B,B112,'Raw (GPT-5.1)'!$C:$C,C112)</f>
        <v>32.24</v>
      </c>
      <c r="F112" s="12" t="n">
        <f aca="false">IF(D112&gt;E112,1,0)</f>
        <v>1</v>
      </c>
    </row>
    <row r="113" customFormat="false" ht="15" hidden="false" customHeight="false" outlineLevel="0" collapsed="false">
      <c r="A113" s="12" t="s">
        <v>25</v>
      </c>
      <c r="B113" s="12" t="n">
        <v>0.3</v>
      </c>
      <c r="C113" s="12" t="s">
        <v>36</v>
      </c>
      <c r="D113" s="12" t="n">
        <f aca="false">AVERAGEIFS('Raw (GPT-5.1)'!$D:$D,'Raw (GPT-5.1)'!$A:$A,A113,'Raw (GPT-5.1)'!$B:$B,B113,'Raw (GPT-5.1)'!$C:$C,C113)</f>
        <v>46.215</v>
      </c>
      <c r="E113" s="12" t="n">
        <f aca="false">AVERAGEIFS('Raw (GPT-5.1)'!$D:$D,'Raw (GPT-5.1)'!$A:$A,"unfiltered",'Raw (GPT-5.1)'!$B:$B,B113,'Raw (GPT-5.1)'!$C:$C,C113)</f>
        <v>34.79</v>
      </c>
      <c r="F113" s="12" t="n">
        <f aca="false">IF(D113&gt;E113,1,0)</f>
        <v>1</v>
      </c>
    </row>
    <row r="114" customFormat="false" ht="15" hidden="false" customHeight="false" outlineLevel="0" collapsed="false">
      <c r="A114" s="12" t="s">
        <v>25</v>
      </c>
      <c r="B114" s="12" t="n">
        <v>0.3</v>
      </c>
      <c r="C114" s="12" t="s">
        <v>37</v>
      </c>
      <c r="D114" s="12" t="n">
        <f aca="false">AVERAGEIFS('Raw (GPT-5.1)'!$D:$D,'Raw (GPT-5.1)'!$A:$A,A114,'Raw (GPT-5.1)'!$B:$B,B114,'Raw (GPT-5.1)'!$C:$C,C114)</f>
        <v>24.3066666666667</v>
      </c>
      <c r="E114" s="12" t="n">
        <f aca="false">AVERAGEIFS('Raw (GPT-5.1)'!$D:$D,'Raw (GPT-5.1)'!$A:$A,"unfiltered",'Raw (GPT-5.1)'!$B:$B,B114,'Raw (GPT-5.1)'!$C:$C,C114)</f>
        <v>40.76</v>
      </c>
      <c r="F114" s="12" t="n">
        <f aca="false">IF(D114&gt;E114,1,0)</f>
        <v>0</v>
      </c>
    </row>
    <row r="115" customFormat="false" ht="15" hidden="false" customHeight="false" outlineLevel="0" collapsed="false">
      <c r="A115" s="12" t="s">
        <v>25</v>
      </c>
      <c r="B115" s="12" t="n">
        <v>0.3</v>
      </c>
      <c r="C115" s="12" t="s">
        <v>38</v>
      </c>
      <c r="D115" s="12" t="n">
        <f aca="false">AVERAGEIFS('Raw (GPT-5.1)'!$D:$D,'Raw (GPT-5.1)'!$A:$A,A115,'Raw (GPT-5.1)'!$B:$B,B115,'Raw (GPT-5.1)'!$C:$C,C115)</f>
        <v>34.8333333333333</v>
      </c>
      <c r="E115" s="12" t="n">
        <f aca="false">AVERAGEIFS('Raw (GPT-5.1)'!$D:$D,'Raw (GPT-5.1)'!$A:$A,"unfiltered",'Raw (GPT-5.1)'!$B:$B,B115,'Raw (GPT-5.1)'!$C:$C,C115)</f>
        <v>60.11</v>
      </c>
      <c r="F115" s="12" t="n">
        <f aca="false">IF(D115&gt;E115,1,0)</f>
        <v>0</v>
      </c>
    </row>
    <row r="116" customFormat="false" ht="15" hidden="false" customHeight="false" outlineLevel="0" collapsed="false">
      <c r="A116" s="12" t="s">
        <v>25</v>
      </c>
      <c r="B116" s="12" t="n">
        <v>0.3</v>
      </c>
      <c r="C116" s="12" t="s">
        <v>39</v>
      </c>
      <c r="D116" s="12" t="n">
        <f aca="false">AVERAGEIFS('Raw (GPT-5.1)'!$D:$D,'Raw (GPT-5.1)'!$A:$A,A116,'Raw (GPT-5.1)'!$B:$B,B116,'Raw (GPT-5.1)'!$C:$C,C116)</f>
        <v>25.21</v>
      </c>
      <c r="E116" s="12" t="n">
        <f aca="false">AVERAGEIFS('Raw (GPT-5.1)'!$D:$D,'Raw (GPT-5.1)'!$A:$A,"unfiltered",'Raw (GPT-5.1)'!$B:$B,B116,'Raw (GPT-5.1)'!$C:$C,C116)</f>
        <v>44.77</v>
      </c>
      <c r="F116" s="12" t="n">
        <f aca="false">IF(D116&gt;E116,1,0)</f>
        <v>0</v>
      </c>
    </row>
    <row r="117" customFormat="false" ht="15" hidden="false" customHeight="false" outlineLevel="0" collapsed="false">
      <c r="A117" s="12" t="s">
        <v>25</v>
      </c>
      <c r="B117" s="12" t="n">
        <v>0.3</v>
      </c>
      <c r="C117" s="12" t="s">
        <v>40</v>
      </c>
      <c r="D117" s="12" t="n">
        <f aca="false">AVERAGEIFS('Raw (GPT-5.1)'!$D:$D,'Raw (GPT-5.1)'!$A:$A,A117,'Raw (GPT-5.1)'!$B:$B,B117,'Raw (GPT-5.1)'!$C:$C,C117)</f>
        <v>48.6633333333333</v>
      </c>
      <c r="E117" s="12" t="n">
        <f aca="false">AVERAGEIFS('Raw (GPT-5.1)'!$D:$D,'Raw (GPT-5.1)'!$A:$A,"unfiltered",'Raw (GPT-5.1)'!$B:$B,B117,'Raw (GPT-5.1)'!$C:$C,C117)</f>
        <v>63.17</v>
      </c>
      <c r="F117" s="12" t="n">
        <f aca="false">IF(D117&gt;E117,1,0)</f>
        <v>0</v>
      </c>
    </row>
    <row r="118" customFormat="false" ht="15" hidden="false" customHeight="false" outlineLevel="0" collapsed="false">
      <c r="A118" s="12" t="s">
        <v>25</v>
      </c>
      <c r="B118" s="12" t="n">
        <v>0.3</v>
      </c>
      <c r="C118" s="12" t="s">
        <v>41</v>
      </c>
      <c r="D118" s="12" t="n">
        <f aca="false">AVERAGEIFS('Raw (GPT-5.1)'!$D:$D,'Raw (GPT-5.1)'!$A:$A,A118,'Raw (GPT-5.1)'!$B:$B,B118,'Raw (GPT-5.1)'!$C:$C,C118)</f>
        <v>68.83</v>
      </c>
      <c r="E118" s="12" t="n">
        <f aca="false">AVERAGEIFS('Raw (GPT-5.1)'!$D:$D,'Raw (GPT-5.1)'!$A:$A,"unfiltered",'Raw (GPT-5.1)'!$B:$B,B118,'Raw (GPT-5.1)'!$C:$C,C118)</f>
        <v>57.9</v>
      </c>
      <c r="F118" s="12" t="n">
        <f aca="false">IF(D118&gt;E118,1,0)</f>
        <v>1</v>
      </c>
    </row>
    <row r="119" customFormat="false" ht="15" hidden="false" customHeight="false" outlineLevel="0" collapsed="false">
      <c r="A119" s="12" t="s">
        <v>25</v>
      </c>
      <c r="B119" s="12" t="n">
        <v>0.4</v>
      </c>
      <c r="C119" s="12" t="s">
        <v>33</v>
      </c>
      <c r="D119" s="12" t="n">
        <f aca="false">AVERAGEIFS('Raw (GPT-5.1)'!$D:$D,'Raw (GPT-5.1)'!$A:$A,A119,'Raw (GPT-5.1)'!$B:$B,B119,'Raw (GPT-5.1)'!$C:$C,C119)</f>
        <v>33.4033333333333</v>
      </c>
      <c r="E119" s="12" t="n">
        <f aca="false">AVERAGEIFS('Raw (GPT-5.1)'!$D:$D,'Raw (GPT-5.1)'!$A:$A,"unfiltered",'Raw (GPT-5.1)'!$B:$B,B119,'Raw (GPT-5.1)'!$C:$C,C119)</f>
        <v>36.69</v>
      </c>
      <c r="F119" s="12" t="n">
        <f aca="false">IF(D119&gt;E119,1,0)</f>
        <v>0</v>
      </c>
    </row>
    <row r="120" customFormat="false" ht="15" hidden="false" customHeight="false" outlineLevel="0" collapsed="false">
      <c r="A120" s="12" t="s">
        <v>25</v>
      </c>
      <c r="B120" s="12" t="n">
        <v>0.4</v>
      </c>
      <c r="C120" s="12" t="s">
        <v>34</v>
      </c>
      <c r="D120" s="12" t="n">
        <f aca="false">AVERAGEIFS('Raw (GPT-5.1)'!$D:$D,'Raw (GPT-5.1)'!$A:$A,A120,'Raw (GPT-5.1)'!$B:$B,B120,'Raw (GPT-5.1)'!$C:$C,C120)</f>
        <v>45.1533333333333</v>
      </c>
      <c r="E120" s="12" t="n">
        <f aca="false">AVERAGEIFS('Raw (GPT-5.1)'!$D:$D,'Raw (GPT-5.1)'!$A:$A,"unfiltered",'Raw (GPT-5.1)'!$B:$B,B120,'Raw (GPT-5.1)'!$C:$C,C120)</f>
        <v>43.96</v>
      </c>
      <c r="F120" s="12" t="n">
        <f aca="false">IF(D120&gt;E120,1,0)</f>
        <v>1</v>
      </c>
    </row>
    <row r="121" customFormat="false" ht="15" hidden="false" customHeight="false" outlineLevel="0" collapsed="false">
      <c r="A121" s="12" t="s">
        <v>25</v>
      </c>
      <c r="B121" s="12" t="n">
        <v>0.4</v>
      </c>
      <c r="C121" s="12" t="s">
        <v>35</v>
      </c>
      <c r="D121" s="12" t="n">
        <f aca="false">AVERAGEIFS('Raw (GPT-5.1)'!$D:$D,'Raw (GPT-5.1)'!$A:$A,A121,'Raw (GPT-5.1)'!$B:$B,B121,'Raw (GPT-5.1)'!$C:$C,C121)</f>
        <v>35.53</v>
      </c>
      <c r="E121" s="12" t="n">
        <f aca="false">AVERAGEIFS('Raw (GPT-5.1)'!$D:$D,'Raw (GPT-5.1)'!$A:$A,"unfiltered",'Raw (GPT-5.1)'!$B:$B,B121,'Raw (GPT-5.1)'!$C:$C,C121)</f>
        <v>38.65</v>
      </c>
      <c r="F121" s="12" t="n">
        <f aca="false">IF(D121&gt;E121,1,0)</f>
        <v>0</v>
      </c>
    </row>
    <row r="122" customFormat="false" ht="15" hidden="false" customHeight="false" outlineLevel="0" collapsed="false">
      <c r="A122" s="12" t="s">
        <v>25</v>
      </c>
      <c r="B122" s="12" t="n">
        <v>0.4</v>
      </c>
      <c r="C122" s="12" t="s">
        <v>36</v>
      </c>
      <c r="D122" s="12" t="n">
        <f aca="false">AVERAGEIFS('Raw (GPT-5.1)'!$D:$D,'Raw (GPT-5.1)'!$A:$A,A122,'Raw (GPT-5.1)'!$B:$B,B122,'Raw (GPT-5.1)'!$C:$C,C122)</f>
        <v>31.24</v>
      </c>
      <c r="E122" s="12" t="n">
        <f aca="false">AVERAGEIFS('Raw (GPT-5.1)'!$D:$D,'Raw (GPT-5.1)'!$A:$A,"unfiltered",'Raw (GPT-5.1)'!$B:$B,B122,'Raw (GPT-5.1)'!$C:$C,C122)</f>
        <v>31.19</v>
      </c>
      <c r="F122" s="12" t="n">
        <f aca="false">IF(D122&gt;E122,1,0)</f>
        <v>1</v>
      </c>
    </row>
    <row r="123" customFormat="false" ht="15" hidden="false" customHeight="false" outlineLevel="0" collapsed="false">
      <c r="A123" s="12" t="s">
        <v>25</v>
      </c>
      <c r="B123" s="12" t="n">
        <v>0.4</v>
      </c>
      <c r="C123" s="12" t="s">
        <v>37</v>
      </c>
      <c r="D123" s="12" t="n">
        <f aca="false">AVERAGEIFS('Raw (GPT-5.1)'!$D:$D,'Raw (GPT-5.1)'!$A:$A,A123,'Raw (GPT-5.1)'!$B:$B,B123,'Raw (GPT-5.1)'!$C:$C,C123)</f>
        <v>19.7266666666667</v>
      </c>
      <c r="E123" s="12" t="n">
        <f aca="false">AVERAGEIFS('Raw (GPT-5.1)'!$D:$D,'Raw (GPT-5.1)'!$A:$A,"unfiltered",'Raw (GPT-5.1)'!$B:$B,B123,'Raw (GPT-5.1)'!$C:$C,C123)</f>
        <v>28.79</v>
      </c>
      <c r="F123" s="12" t="n">
        <f aca="false">IF(D123&gt;E123,1,0)</f>
        <v>0</v>
      </c>
    </row>
    <row r="124" customFormat="false" ht="15" hidden="false" customHeight="false" outlineLevel="0" collapsed="false">
      <c r="A124" s="12" t="s">
        <v>25</v>
      </c>
      <c r="B124" s="12" t="n">
        <v>0.4</v>
      </c>
      <c r="C124" s="12" t="s">
        <v>38</v>
      </c>
      <c r="D124" s="12" t="n">
        <f aca="false">AVERAGEIFS('Raw (GPT-5.1)'!$D:$D,'Raw (GPT-5.1)'!$A:$A,A124,'Raw (GPT-5.1)'!$B:$B,B124,'Raw (GPT-5.1)'!$C:$C,C124)</f>
        <v>32.0533333333333</v>
      </c>
      <c r="E124" s="12" t="n">
        <f aca="false">AVERAGEIFS('Raw (GPT-5.1)'!$D:$D,'Raw (GPT-5.1)'!$A:$A,"unfiltered",'Raw (GPT-5.1)'!$B:$B,B124,'Raw (GPT-5.1)'!$C:$C,C124)</f>
        <v>47.46</v>
      </c>
      <c r="F124" s="12" t="n">
        <f aca="false">IF(D124&gt;E124,1,0)</f>
        <v>0</v>
      </c>
    </row>
    <row r="125" customFormat="false" ht="15" hidden="false" customHeight="false" outlineLevel="0" collapsed="false">
      <c r="A125" s="12" t="s">
        <v>25</v>
      </c>
      <c r="B125" s="12" t="n">
        <v>0.4</v>
      </c>
      <c r="C125" s="12" t="s">
        <v>39</v>
      </c>
      <c r="D125" s="12" t="n">
        <f aca="false">AVERAGEIFS('Raw (GPT-5.1)'!$D:$D,'Raw (GPT-5.1)'!$A:$A,A125,'Raw (GPT-5.1)'!$B:$B,B125,'Raw (GPT-5.1)'!$C:$C,C125)</f>
        <v>27.75</v>
      </c>
      <c r="E125" s="12" t="n">
        <f aca="false">AVERAGEIFS('Raw (GPT-5.1)'!$D:$D,'Raw (GPT-5.1)'!$A:$A,"unfiltered",'Raw (GPT-5.1)'!$B:$B,B125,'Raw (GPT-5.1)'!$C:$C,C125)</f>
        <v>52.45</v>
      </c>
      <c r="F125" s="12" t="n">
        <f aca="false">IF(D125&gt;E125,1,0)</f>
        <v>0</v>
      </c>
    </row>
    <row r="126" customFormat="false" ht="15" hidden="false" customHeight="false" outlineLevel="0" collapsed="false">
      <c r="A126" s="12" t="s">
        <v>25</v>
      </c>
      <c r="B126" s="12" t="n">
        <v>0.4</v>
      </c>
      <c r="C126" s="12" t="s">
        <v>40</v>
      </c>
      <c r="D126" s="12" t="n">
        <f aca="false">AVERAGEIFS('Raw (GPT-5.1)'!$D:$D,'Raw (GPT-5.1)'!$A:$A,A126,'Raw (GPT-5.1)'!$B:$B,B126,'Raw (GPT-5.1)'!$C:$C,C126)</f>
        <v>48.91</v>
      </c>
      <c r="E126" s="12" t="n">
        <f aca="false">AVERAGEIFS('Raw (GPT-5.1)'!$D:$D,'Raw (GPT-5.1)'!$A:$A,"unfiltered",'Raw (GPT-5.1)'!$B:$B,B126,'Raw (GPT-5.1)'!$C:$C,C126)</f>
        <v>72.88</v>
      </c>
      <c r="F126" s="12" t="n">
        <f aca="false">IF(D126&gt;E126,1,0)</f>
        <v>0</v>
      </c>
    </row>
    <row r="127" customFormat="false" ht="15" hidden="false" customHeight="false" outlineLevel="0" collapsed="false">
      <c r="A127" s="12" t="s">
        <v>25</v>
      </c>
      <c r="B127" s="12" t="n">
        <v>0.4</v>
      </c>
      <c r="C127" s="12" t="s">
        <v>41</v>
      </c>
      <c r="D127" s="12" t="n">
        <f aca="false">AVERAGEIFS('Raw (GPT-5.1)'!$D:$D,'Raw (GPT-5.1)'!$A:$A,A127,'Raw (GPT-5.1)'!$B:$B,B127,'Raw (GPT-5.1)'!$C:$C,C127)</f>
        <v>48.87</v>
      </c>
      <c r="E127" s="12" t="n">
        <f aca="false">AVERAGEIFS('Raw (GPT-5.1)'!$D:$D,'Raw (GPT-5.1)'!$A:$A,"unfiltered",'Raw (GPT-5.1)'!$B:$B,B127,'Raw (GPT-5.1)'!$C:$C,C127)</f>
        <v>66.14</v>
      </c>
      <c r="F127" s="12" t="n">
        <f aca="false">IF(D127&gt;E127,1,0)</f>
        <v>0</v>
      </c>
    </row>
    <row r="128" customFormat="false" ht="15" hidden="false" customHeight="false" outlineLevel="0" collapsed="false">
      <c r="A128" s="12" t="s">
        <v>25</v>
      </c>
      <c r="B128" s="12" t="n">
        <v>0.5</v>
      </c>
      <c r="C128" s="12" t="s">
        <v>33</v>
      </c>
      <c r="D128" s="12" t="n">
        <f aca="false">AVERAGEIFS('Raw (GPT-5.1)'!$D:$D,'Raw (GPT-5.1)'!$A:$A,A128,'Raw (GPT-5.1)'!$B:$B,B128,'Raw (GPT-5.1)'!$C:$C,C128)</f>
        <v>39.63</v>
      </c>
      <c r="E128" s="12" t="n">
        <f aca="false">AVERAGEIFS('Raw (GPT-5.1)'!$D:$D,'Raw (GPT-5.1)'!$A:$A,"unfiltered",'Raw (GPT-5.1)'!$B:$B,B128,'Raw (GPT-5.1)'!$C:$C,C128)</f>
        <v>40.77</v>
      </c>
      <c r="F128" s="12" t="n">
        <f aca="false">IF(D128&gt;E128,1,0)</f>
        <v>0</v>
      </c>
    </row>
    <row r="129" customFormat="false" ht="15" hidden="false" customHeight="false" outlineLevel="0" collapsed="false">
      <c r="A129" s="12" t="s">
        <v>25</v>
      </c>
      <c r="B129" s="12" t="n">
        <v>0.5</v>
      </c>
      <c r="C129" s="12" t="s">
        <v>34</v>
      </c>
      <c r="D129" s="12" t="n">
        <f aca="false">AVERAGEIFS('Raw (GPT-5.1)'!$D:$D,'Raw (GPT-5.1)'!$A:$A,A129,'Raw (GPT-5.1)'!$B:$B,B129,'Raw (GPT-5.1)'!$C:$C,C129)</f>
        <v>39.62</v>
      </c>
      <c r="E129" s="12" t="n">
        <f aca="false">AVERAGEIFS('Raw (GPT-5.1)'!$D:$D,'Raw (GPT-5.1)'!$A:$A,"unfiltered",'Raw (GPT-5.1)'!$B:$B,B129,'Raw (GPT-5.1)'!$C:$C,C129)</f>
        <v>41.89</v>
      </c>
      <c r="F129" s="12" t="n">
        <f aca="false">IF(D129&gt;E129,1,0)</f>
        <v>0</v>
      </c>
    </row>
    <row r="130" customFormat="false" ht="15" hidden="false" customHeight="false" outlineLevel="0" collapsed="false">
      <c r="A130" s="12" t="s">
        <v>25</v>
      </c>
      <c r="B130" s="12" t="n">
        <v>0.5</v>
      </c>
      <c r="C130" s="12" t="s">
        <v>35</v>
      </c>
      <c r="D130" s="12" t="n">
        <f aca="false">AVERAGEIFS('Raw (GPT-5.1)'!$D:$D,'Raw (GPT-5.1)'!$A:$A,A130,'Raw (GPT-5.1)'!$B:$B,B130,'Raw (GPT-5.1)'!$C:$C,C130)</f>
        <v>42.85</v>
      </c>
      <c r="E130" s="12" t="n">
        <f aca="false">AVERAGEIFS('Raw (GPT-5.1)'!$D:$D,'Raw (GPT-5.1)'!$A:$A,"unfiltered",'Raw (GPT-5.1)'!$B:$B,B130,'Raw (GPT-5.1)'!$C:$C,C130)</f>
        <v>41.32</v>
      </c>
      <c r="F130" s="12" t="n">
        <f aca="false">IF(D130&gt;E130,1,0)</f>
        <v>1</v>
      </c>
    </row>
    <row r="131" customFormat="false" ht="15" hidden="false" customHeight="false" outlineLevel="0" collapsed="false">
      <c r="A131" s="12" t="s">
        <v>25</v>
      </c>
      <c r="B131" s="12" t="n">
        <v>0.5</v>
      </c>
      <c r="C131" s="12" t="s">
        <v>36</v>
      </c>
      <c r="D131" s="12" t="n">
        <f aca="false">AVERAGEIFS('Raw (GPT-5.1)'!$D:$D,'Raw (GPT-5.1)'!$A:$A,A131,'Raw (GPT-5.1)'!$B:$B,B131,'Raw (GPT-5.1)'!$C:$C,C131)</f>
        <v>25.51</v>
      </c>
      <c r="E131" s="12" t="n">
        <f aca="false">AVERAGEIFS('Raw (GPT-5.1)'!$D:$D,'Raw (GPT-5.1)'!$A:$A,"unfiltered",'Raw (GPT-5.1)'!$B:$B,B131,'Raw (GPT-5.1)'!$C:$C,C131)</f>
        <v>35.01</v>
      </c>
      <c r="F131" s="12" t="n">
        <f aca="false">IF(D131&gt;E131,1,0)</f>
        <v>0</v>
      </c>
    </row>
    <row r="132" customFormat="false" ht="15" hidden="false" customHeight="false" outlineLevel="0" collapsed="false">
      <c r="A132" s="12" t="s">
        <v>25</v>
      </c>
      <c r="B132" s="12" t="n">
        <v>0.5</v>
      </c>
      <c r="C132" s="12" t="s">
        <v>37</v>
      </c>
      <c r="D132" s="12" t="n">
        <f aca="false">AVERAGEIFS('Raw (GPT-5.1)'!$D:$D,'Raw (GPT-5.1)'!$A:$A,A132,'Raw (GPT-5.1)'!$B:$B,B132,'Raw (GPT-5.1)'!$C:$C,C132)</f>
        <v>32.97</v>
      </c>
      <c r="E132" s="12" t="n">
        <f aca="false">AVERAGEIFS('Raw (GPT-5.1)'!$D:$D,'Raw (GPT-5.1)'!$A:$A,"unfiltered",'Raw (GPT-5.1)'!$B:$B,B132,'Raw (GPT-5.1)'!$C:$C,C132)</f>
        <v>42.02</v>
      </c>
      <c r="F132" s="12" t="n">
        <f aca="false">IF(D132&gt;E132,1,0)</f>
        <v>0</v>
      </c>
    </row>
    <row r="133" customFormat="false" ht="15" hidden="false" customHeight="false" outlineLevel="0" collapsed="false">
      <c r="A133" s="12" t="s">
        <v>25</v>
      </c>
      <c r="B133" s="12" t="n">
        <v>0.5</v>
      </c>
      <c r="C133" s="12" t="s">
        <v>38</v>
      </c>
      <c r="D133" s="12" t="n">
        <f aca="false">AVERAGEIFS('Raw (GPT-5.1)'!$D:$D,'Raw (GPT-5.1)'!$A:$A,A133,'Raw (GPT-5.1)'!$B:$B,B133,'Raw (GPT-5.1)'!$C:$C,C133)</f>
        <v>35.34</v>
      </c>
      <c r="E133" s="12" t="n">
        <f aca="false">AVERAGEIFS('Raw (GPT-5.1)'!$D:$D,'Raw (GPT-5.1)'!$A:$A,"unfiltered",'Raw (GPT-5.1)'!$B:$B,B133,'Raw (GPT-5.1)'!$C:$C,C133)</f>
        <v>48.7</v>
      </c>
      <c r="F133" s="12" t="n">
        <f aca="false">IF(D133&gt;E133,1,0)</f>
        <v>0</v>
      </c>
    </row>
    <row r="134" customFormat="false" ht="15" hidden="false" customHeight="false" outlineLevel="0" collapsed="false">
      <c r="A134" s="12" t="s">
        <v>25</v>
      </c>
      <c r="B134" s="12" t="n">
        <v>0.5</v>
      </c>
      <c r="C134" s="12" t="s">
        <v>39</v>
      </c>
      <c r="D134" s="12" t="n">
        <f aca="false">AVERAGEIFS('Raw (GPT-5.1)'!$D:$D,'Raw (GPT-5.1)'!$A:$A,A134,'Raw (GPT-5.1)'!$B:$B,B134,'Raw (GPT-5.1)'!$C:$C,C134)</f>
        <v>31.27</v>
      </c>
      <c r="E134" s="12" t="n">
        <f aca="false">AVERAGEIFS('Raw (GPT-5.1)'!$D:$D,'Raw (GPT-5.1)'!$A:$A,"unfiltered",'Raw (GPT-5.1)'!$B:$B,B134,'Raw (GPT-5.1)'!$C:$C,C134)</f>
        <v>52.39</v>
      </c>
      <c r="F134" s="12" t="n">
        <f aca="false">IF(D134&gt;E134,1,0)</f>
        <v>0</v>
      </c>
    </row>
    <row r="135" customFormat="false" ht="15" hidden="false" customHeight="false" outlineLevel="0" collapsed="false">
      <c r="A135" s="12" t="s">
        <v>25</v>
      </c>
      <c r="B135" s="12" t="n">
        <v>0.5</v>
      </c>
      <c r="C135" s="12" t="s">
        <v>40</v>
      </c>
      <c r="D135" s="12" t="n">
        <f aca="false">AVERAGEIFS('Raw (GPT-5.1)'!$D:$D,'Raw (GPT-5.1)'!$A:$A,A135,'Raw (GPT-5.1)'!$B:$B,B135,'Raw (GPT-5.1)'!$C:$C,C135)</f>
        <v>52.56</v>
      </c>
      <c r="E135" s="12" t="n">
        <f aca="false">AVERAGEIFS('Raw (GPT-5.1)'!$D:$D,'Raw (GPT-5.1)'!$A:$A,"unfiltered",'Raw (GPT-5.1)'!$B:$B,B135,'Raw (GPT-5.1)'!$C:$C,C135)</f>
        <v>33.75</v>
      </c>
      <c r="F135" s="12" t="n">
        <f aca="false">IF(D135&gt;E135,1,0)</f>
        <v>1</v>
      </c>
    </row>
    <row r="136" customFormat="false" ht="15" hidden="false" customHeight="false" outlineLevel="0" collapsed="false">
      <c r="A136" s="12" t="s">
        <v>25</v>
      </c>
      <c r="B136" s="12" t="n">
        <v>0.5</v>
      </c>
      <c r="C136" s="12" t="s">
        <v>41</v>
      </c>
      <c r="D136" s="12" t="n">
        <f aca="false">AVERAGEIFS('Raw (GPT-5.1)'!$D:$D,'Raw (GPT-5.1)'!$A:$A,A136,'Raw (GPT-5.1)'!$B:$B,B136,'Raw (GPT-5.1)'!$C:$C,C136)</f>
        <v>45.13</v>
      </c>
      <c r="E136" s="12" t="n">
        <f aca="false">AVERAGEIFS('Raw (GPT-5.1)'!$D:$D,'Raw (GPT-5.1)'!$A:$A,"unfiltered",'Raw (GPT-5.1)'!$B:$B,B136,'Raw (GPT-5.1)'!$C:$C,C136)</f>
        <v>70.86</v>
      </c>
      <c r="F136" s="12" t="n">
        <f aca="false">IF(D136&gt;E136,1,0)</f>
        <v>0</v>
      </c>
    </row>
    <row r="137" customFormat="false" ht="15" hidden="false" customHeight="false" outlineLevel="0" collapsed="false">
      <c r="A137" s="12" t="s">
        <v>23</v>
      </c>
      <c r="B137" s="12" t="n">
        <v>0.3</v>
      </c>
      <c r="C137" s="12" t="s">
        <v>33</v>
      </c>
      <c r="D137" s="12" t="n">
        <f aca="false">AVERAGEIFS('Raw (GPT-5.1)'!$D:$D,'Raw (GPT-5.1)'!$A:$A,A137,'Raw (GPT-5.1)'!$B:$B,B137,'Raw (GPT-5.1)'!$C:$C,C137)</f>
        <v>41.4533333333333</v>
      </c>
      <c r="E137" s="12" t="n">
        <f aca="false">AVERAGEIFS('Raw (GPT-5.1)'!$D:$D,'Raw (GPT-5.1)'!$A:$A,"unfiltered",'Raw (GPT-5.1)'!$B:$B,B137,'Raw (GPT-5.1)'!$C:$C,C137)</f>
        <v>35.4</v>
      </c>
      <c r="F137" s="12" t="n">
        <f aca="false">IF(D137&gt;E137,1,0)</f>
        <v>1</v>
      </c>
    </row>
    <row r="138" customFormat="false" ht="15" hidden="false" customHeight="false" outlineLevel="0" collapsed="false">
      <c r="A138" s="12" t="s">
        <v>23</v>
      </c>
      <c r="B138" s="12" t="n">
        <v>0.3</v>
      </c>
      <c r="C138" s="12" t="s">
        <v>34</v>
      </c>
      <c r="D138" s="12" t="n">
        <f aca="false">AVERAGEIFS('Raw (GPT-5.1)'!$D:$D,'Raw (GPT-5.1)'!$A:$A,A138,'Raw (GPT-5.1)'!$B:$B,B138,'Raw (GPT-5.1)'!$C:$C,C138)</f>
        <v>60.4766666666667</v>
      </c>
      <c r="E138" s="12" t="n">
        <f aca="false">AVERAGEIFS('Raw (GPT-5.1)'!$D:$D,'Raw (GPT-5.1)'!$A:$A,"unfiltered",'Raw (GPT-5.1)'!$B:$B,B138,'Raw (GPT-5.1)'!$C:$C,C138)</f>
        <v>39.4</v>
      </c>
      <c r="F138" s="12" t="n">
        <f aca="false">IF(D138&gt;E138,1,0)</f>
        <v>1</v>
      </c>
    </row>
    <row r="139" customFormat="false" ht="15" hidden="false" customHeight="false" outlineLevel="0" collapsed="false">
      <c r="A139" s="12" t="s">
        <v>23</v>
      </c>
      <c r="B139" s="12" t="n">
        <v>0.3</v>
      </c>
      <c r="C139" s="12" t="s">
        <v>35</v>
      </c>
      <c r="D139" s="12" t="n">
        <f aca="false">AVERAGEIFS('Raw (GPT-5.1)'!$D:$D,'Raw (GPT-5.1)'!$A:$A,A139,'Raw (GPT-5.1)'!$B:$B,B139,'Raw (GPT-5.1)'!$C:$C,C139)</f>
        <v>53.0233333333333</v>
      </c>
      <c r="E139" s="12" t="n">
        <f aca="false">AVERAGEIFS('Raw (GPT-5.1)'!$D:$D,'Raw (GPT-5.1)'!$A:$A,"unfiltered",'Raw (GPT-5.1)'!$B:$B,B139,'Raw (GPT-5.1)'!$C:$C,C139)</f>
        <v>32.24</v>
      </c>
      <c r="F139" s="12" t="n">
        <f aca="false">IF(D139&gt;E139,1,0)</f>
        <v>1</v>
      </c>
    </row>
    <row r="140" customFormat="false" ht="15" hidden="false" customHeight="false" outlineLevel="0" collapsed="false">
      <c r="A140" s="12" t="s">
        <v>23</v>
      </c>
      <c r="B140" s="12" t="n">
        <v>0.3</v>
      </c>
      <c r="C140" s="12" t="s">
        <v>36</v>
      </c>
      <c r="D140" s="12" t="n">
        <f aca="false">AVERAGEIFS('Raw (GPT-5.1)'!$D:$D,'Raw (GPT-5.1)'!$A:$A,A140,'Raw (GPT-5.1)'!$B:$B,B140,'Raw (GPT-5.1)'!$C:$C,C140)</f>
        <v>53.1066666666667</v>
      </c>
      <c r="E140" s="12" t="n">
        <f aca="false">AVERAGEIFS('Raw (GPT-5.1)'!$D:$D,'Raw (GPT-5.1)'!$A:$A,"unfiltered",'Raw (GPT-5.1)'!$B:$B,B140,'Raw (GPT-5.1)'!$C:$C,C140)</f>
        <v>34.79</v>
      </c>
      <c r="F140" s="12" t="n">
        <f aca="false">IF(D140&gt;E140,1,0)</f>
        <v>1</v>
      </c>
    </row>
    <row r="141" customFormat="false" ht="15" hidden="false" customHeight="false" outlineLevel="0" collapsed="false">
      <c r="A141" s="12" t="s">
        <v>23</v>
      </c>
      <c r="B141" s="12" t="n">
        <v>0.3</v>
      </c>
      <c r="C141" s="12" t="s">
        <v>37</v>
      </c>
      <c r="D141" s="12" t="n">
        <f aca="false">AVERAGEIFS('Raw (GPT-5.1)'!$D:$D,'Raw (GPT-5.1)'!$A:$A,A141,'Raw (GPT-5.1)'!$B:$B,B141,'Raw (GPT-5.1)'!$C:$C,C141)</f>
        <v>28.0733333333333</v>
      </c>
      <c r="E141" s="12" t="n">
        <f aca="false">AVERAGEIFS('Raw (GPT-5.1)'!$D:$D,'Raw (GPT-5.1)'!$A:$A,"unfiltered",'Raw (GPT-5.1)'!$B:$B,B141,'Raw (GPT-5.1)'!$C:$C,C141)</f>
        <v>40.76</v>
      </c>
      <c r="F141" s="12" t="n">
        <f aca="false">IF(D141&gt;E141,1,0)</f>
        <v>0</v>
      </c>
    </row>
    <row r="142" customFormat="false" ht="15" hidden="false" customHeight="false" outlineLevel="0" collapsed="false">
      <c r="A142" s="12" t="s">
        <v>23</v>
      </c>
      <c r="B142" s="12" t="n">
        <v>0.3</v>
      </c>
      <c r="C142" s="12" t="s">
        <v>38</v>
      </c>
      <c r="D142" s="12" t="n">
        <f aca="false">AVERAGEIFS('Raw (GPT-5.1)'!$D:$D,'Raw (GPT-5.1)'!$A:$A,A142,'Raw (GPT-5.1)'!$B:$B,B142,'Raw (GPT-5.1)'!$C:$C,C142)</f>
        <v>26.95</v>
      </c>
      <c r="E142" s="12" t="n">
        <f aca="false">AVERAGEIFS('Raw (GPT-5.1)'!$D:$D,'Raw (GPT-5.1)'!$A:$A,"unfiltered",'Raw (GPT-5.1)'!$B:$B,B142,'Raw (GPT-5.1)'!$C:$C,C142)</f>
        <v>60.11</v>
      </c>
      <c r="F142" s="12" t="n">
        <f aca="false">IF(D142&gt;E142,1,0)</f>
        <v>0</v>
      </c>
    </row>
    <row r="143" customFormat="false" ht="15" hidden="false" customHeight="false" outlineLevel="0" collapsed="false">
      <c r="A143" s="12" t="s">
        <v>23</v>
      </c>
      <c r="B143" s="12" t="n">
        <v>0.3</v>
      </c>
      <c r="C143" s="12" t="s">
        <v>39</v>
      </c>
      <c r="D143" s="12" t="n">
        <f aca="false">AVERAGEIFS('Raw (GPT-5.1)'!$D:$D,'Raw (GPT-5.1)'!$A:$A,A143,'Raw (GPT-5.1)'!$B:$B,B143,'Raw (GPT-5.1)'!$C:$C,C143)</f>
        <v>42.72</v>
      </c>
      <c r="E143" s="12" t="n">
        <f aca="false">AVERAGEIFS('Raw (GPT-5.1)'!$D:$D,'Raw (GPT-5.1)'!$A:$A,"unfiltered",'Raw (GPT-5.1)'!$B:$B,B143,'Raw (GPT-5.1)'!$C:$C,C143)</f>
        <v>44.77</v>
      </c>
      <c r="F143" s="12" t="n">
        <f aca="false">IF(D143&gt;E143,1,0)</f>
        <v>0</v>
      </c>
    </row>
    <row r="144" customFormat="false" ht="15" hidden="false" customHeight="false" outlineLevel="0" collapsed="false">
      <c r="A144" s="12" t="s">
        <v>23</v>
      </c>
      <c r="B144" s="12" t="n">
        <v>0.3</v>
      </c>
      <c r="C144" s="12" t="s">
        <v>40</v>
      </c>
      <c r="D144" s="12" t="n">
        <f aca="false">AVERAGEIFS('Raw (GPT-5.1)'!$D:$D,'Raw (GPT-5.1)'!$A:$A,A144,'Raw (GPT-5.1)'!$B:$B,B144,'Raw (GPT-5.1)'!$C:$C,C144)</f>
        <v>55.83</v>
      </c>
      <c r="E144" s="12" t="n">
        <f aca="false">AVERAGEIFS('Raw (GPT-5.1)'!$D:$D,'Raw (GPT-5.1)'!$A:$A,"unfiltered",'Raw (GPT-5.1)'!$B:$B,B144,'Raw (GPT-5.1)'!$C:$C,C144)</f>
        <v>63.17</v>
      </c>
      <c r="F144" s="12" t="n">
        <f aca="false">IF(D144&gt;E144,1,0)</f>
        <v>0</v>
      </c>
    </row>
    <row r="145" customFormat="false" ht="15" hidden="false" customHeight="false" outlineLevel="0" collapsed="false">
      <c r="A145" s="12" t="s">
        <v>23</v>
      </c>
      <c r="B145" s="12" t="n">
        <v>0.3</v>
      </c>
      <c r="C145" s="12" t="s">
        <v>41</v>
      </c>
      <c r="D145" s="12" t="n">
        <f aca="false">AVERAGEIFS('Raw (GPT-5.1)'!$D:$D,'Raw (GPT-5.1)'!$A:$A,A145,'Raw (GPT-5.1)'!$B:$B,B145,'Raw (GPT-5.1)'!$C:$C,C145)</f>
        <v>89.71</v>
      </c>
      <c r="E145" s="12" t="n">
        <f aca="false">AVERAGEIFS('Raw (GPT-5.1)'!$D:$D,'Raw (GPT-5.1)'!$A:$A,"unfiltered",'Raw (GPT-5.1)'!$B:$B,B145,'Raw (GPT-5.1)'!$C:$C,C145)</f>
        <v>57.9</v>
      </c>
      <c r="F145" s="12" t="n">
        <f aca="false">IF(D145&gt;E145,1,0)</f>
        <v>1</v>
      </c>
    </row>
    <row r="146" customFormat="false" ht="15" hidden="false" customHeight="false" outlineLevel="0" collapsed="false">
      <c r="A146" s="12" t="s">
        <v>23</v>
      </c>
      <c r="B146" s="12" t="n">
        <v>0.4</v>
      </c>
      <c r="C146" s="12" t="s">
        <v>33</v>
      </c>
      <c r="D146" s="12" t="n">
        <f aca="false">AVERAGEIFS('Raw (GPT-5.1)'!$D:$D,'Raw (GPT-5.1)'!$A:$A,A146,'Raw (GPT-5.1)'!$B:$B,B146,'Raw (GPT-5.1)'!$C:$C,C146)</f>
        <v>41.0766666666667</v>
      </c>
      <c r="E146" s="12" t="n">
        <f aca="false">AVERAGEIFS('Raw (GPT-5.1)'!$D:$D,'Raw (GPT-5.1)'!$A:$A,"unfiltered",'Raw (GPT-5.1)'!$B:$B,B146,'Raw (GPT-5.1)'!$C:$C,C146)</f>
        <v>36.69</v>
      </c>
      <c r="F146" s="12" t="n">
        <f aca="false">IF(D146&gt;E146,1,0)</f>
        <v>1</v>
      </c>
    </row>
    <row r="147" customFormat="false" ht="15" hidden="false" customHeight="false" outlineLevel="0" collapsed="false">
      <c r="A147" s="12" t="s">
        <v>23</v>
      </c>
      <c r="B147" s="12" t="n">
        <v>0.4</v>
      </c>
      <c r="C147" s="12" t="s">
        <v>34</v>
      </c>
      <c r="D147" s="12" t="n">
        <f aca="false">AVERAGEIFS('Raw (GPT-5.1)'!$D:$D,'Raw (GPT-5.1)'!$A:$A,A147,'Raw (GPT-5.1)'!$B:$B,B147,'Raw (GPT-5.1)'!$C:$C,C147)</f>
        <v>45.03</v>
      </c>
      <c r="E147" s="12" t="n">
        <f aca="false">AVERAGEIFS('Raw (GPT-5.1)'!$D:$D,'Raw (GPT-5.1)'!$A:$A,"unfiltered",'Raw (GPT-5.1)'!$B:$B,B147,'Raw (GPT-5.1)'!$C:$C,C147)</f>
        <v>43.96</v>
      </c>
      <c r="F147" s="12" t="n">
        <f aca="false">IF(D147&gt;E147,1,0)</f>
        <v>1</v>
      </c>
    </row>
    <row r="148" customFormat="false" ht="15" hidden="false" customHeight="false" outlineLevel="0" collapsed="false">
      <c r="A148" s="12" t="s">
        <v>23</v>
      </c>
      <c r="B148" s="12" t="n">
        <v>0.4</v>
      </c>
      <c r="C148" s="12" t="s">
        <v>35</v>
      </c>
      <c r="D148" s="12" t="n">
        <f aca="false">AVERAGEIFS('Raw (GPT-5.1)'!$D:$D,'Raw (GPT-5.1)'!$A:$A,A148,'Raw (GPT-5.1)'!$B:$B,B148,'Raw (GPT-5.1)'!$C:$C,C148)</f>
        <v>31.1666666666667</v>
      </c>
      <c r="E148" s="12" t="n">
        <f aca="false">AVERAGEIFS('Raw (GPT-5.1)'!$D:$D,'Raw (GPT-5.1)'!$A:$A,"unfiltered",'Raw (GPT-5.1)'!$B:$B,B148,'Raw (GPT-5.1)'!$C:$C,C148)</f>
        <v>38.65</v>
      </c>
      <c r="F148" s="12" t="n">
        <f aca="false">IF(D148&gt;E148,1,0)</f>
        <v>0</v>
      </c>
    </row>
    <row r="149" customFormat="false" ht="15" hidden="false" customHeight="false" outlineLevel="0" collapsed="false">
      <c r="A149" s="12" t="s">
        <v>23</v>
      </c>
      <c r="B149" s="12" t="n">
        <v>0.4</v>
      </c>
      <c r="C149" s="12" t="s">
        <v>36</v>
      </c>
      <c r="D149" s="12" t="n">
        <f aca="false">AVERAGEIFS('Raw (GPT-5.1)'!$D:$D,'Raw (GPT-5.1)'!$A:$A,A149,'Raw (GPT-5.1)'!$B:$B,B149,'Raw (GPT-5.1)'!$C:$C,C149)</f>
        <v>28.6833333333333</v>
      </c>
      <c r="E149" s="12" t="n">
        <f aca="false">AVERAGEIFS('Raw (GPT-5.1)'!$D:$D,'Raw (GPT-5.1)'!$A:$A,"unfiltered",'Raw (GPT-5.1)'!$B:$B,B149,'Raw (GPT-5.1)'!$C:$C,C149)</f>
        <v>31.19</v>
      </c>
      <c r="F149" s="12" t="n">
        <f aca="false">IF(D149&gt;E149,1,0)</f>
        <v>0</v>
      </c>
    </row>
    <row r="150" customFormat="false" ht="15" hidden="false" customHeight="false" outlineLevel="0" collapsed="false">
      <c r="A150" s="12" t="s">
        <v>23</v>
      </c>
      <c r="B150" s="12" t="n">
        <v>0.4</v>
      </c>
      <c r="C150" s="12" t="s">
        <v>37</v>
      </c>
      <c r="D150" s="12" t="n">
        <f aca="false">AVERAGEIFS('Raw (GPT-5.1)'!$D:$D,'Raw (GPT-5.1)'!$A:$A,A150,'Raw (GPT-5.1)'!$B:$B,B150,'Raw (GPT-5.1)'!$C:$C,C150)</f>
        <v>26.6</v>
      </c>
      <c r="E150" s="12" t="n">
        <f aca="false">AVERAGEIFS('Raw (GPT-5.1)'!$D:$D,'Raw (GPT-5.1)'!$A:$A,"unfiltered",'Raw (GPT-5.1)'!$B:$B,B150,'Raw (GPT-5.1)'!$C:$C,C150)</f>
        <v>28.79</v>
      </c>
      <c r="F150" s="12" t="n">
        <f aca="false">IF(D150&gt;E150,1,0)</f>
        <v>0</v>
      </c>
    </row>
    <row r="151" customFormat="false" ht="15" hidden="false" customHeight="false" outlineLevel="0" collapsed="false">
      <c r="A151" s="12" t="s">
        <v>23</v>
      </c>
      <c r="B151" s="12" t="n">
        <v>0.4</v>
      </c>
      <c r="C151" s="12" t="s">
        <v>38</v>
      </c>
      <c r="D151" s="12" t="n">
        <f aca="false">AVERAGEIFS('Raw (GPT-5.1)'!$D:$D,'Raw (GPT-5.1)'!$A:$A,A151,'Raw (GPT-5.1)'!$B:$B,B151,'Raw (GPT-5.1)'!$C:$C,C151)</f>
        <v>41.6966666666667</v>
      </c>
      <c r="E151" s="12" t="n">
        <f aca="false">AVERAGEIFS('Raw (GPT-5.1)'!$D:$D,'Raw (GPT-5.1)'!$A:$A,"unfiltered",'Raw (GPT-5.1)'!$B:$B,B151,'Raw (GPT-5.1)'!$C:$C,C151)</f>
        <v>47.46</v>
      </c>
      <c r="F151" s="12" t="n">
        <f aca="false">IF(D151&gt;E151,1,0)</f>
        <v>0</v>
      </c>
    </row>
    <row r="152" customFormat="false" ht="15" hidden="false" customHeight="false" outlineLevel="0" collapsed="false">
      <c r="A152" s="12" t="s">
        <v>23</v>
      </c>
      <c r="B152" s="12" t="n">
        <v>0.4</v>
      </c>
      <c r="C152" s="12" t="s">
        <v>39</v>
      </c>
      <c r="D152" s="12" t="n">
        <f aca="false">AVERAGEIFS('Raw (GPT-5.1)'!$D:$D,'Raw (GPT-5.1)'!$A:$A,A152,'Raw (GPT-5.1)'!$B:$B,B152,'Raw (GPT-5.1)'!$C:$C,C152)</f>
        <v>22.49</v>
      </c>
      <c r="E152" s="12" t="n">
        <f aca="false">AVERAGEIFS('Raw (GPT-5.1)'!$D:$D,'Raw (GPT-5.1)'!$A:$A,"unfiltered",'Raw (GPT-5.1)'!$B:$B,B152,'Raw (GPT-5.1)'!$C:$C,C152)</f>
        <v>52.45</v>
      </c>
      <c r="F152" s="12" t="n">
        <f aca="false">IF(D152&gt;E152,1,0)</f>
        <v>0</v>
      </c>
    </row>
    <row r="153" customFormat="false" ht="15" hidden="false" customHeight="false" outlineLevel="0" collapsed="false">
      <c r="A153" s="12" t="s">
        <v>23</v>
      </c>
      <c r="B153" s="12" t="n">
        <v>0.4</v>
      </c>
      <c r="C153" s="12" t="s">
        <v>40</v>
      </c>
      <c r="D153" s="12" t="n">
        <f aca="false">AVERAGEIFS('Raw (GPT-5.1)'!$D:$D,'Raw (GPT-5.1)'!$A:$A,A153,'Raw (GPT-5.1)'!$B:$B,B153,'Raw (GPT-5.1)'!$C:$C,C153)</f>
        <v>61.9966666666667</v>
      </c>
      <c r="E153" s="12" t="n">
        <f aca="false">AVERAGEIFS('Raw (GPT-5.1)'!$D:$D,'Raw (GPT-5.1)'!$A:$A,"unfiltered",'Raw (GPT-5.1)'!$B:$B,B153,'Raw (GPT-5.1)'!$C:$C,C153)</f>
        <v>72.88</v>
      </c>
      <c r="F153" s="12" t="n">
        <f aca="false">IF(D153&gt;E153,1,0)</f>
        <v>0</v>
      </c>
    </row>
    <row r="154" customFormat="false" ht="15" hidden="false" customHeight="false" outlineLevel="0" collapsed="false">
      <c r="A154" s="12" t="s">
        <v>23</v>
      </c>
      <c r="B154" s="12" t="n">
        <v>0.4</v>
      </c>
      <c r="C154" s="12" t="s">
        <v>41</v>
      </c>
      <c r="D154" s="12" t="n">
        <f aca="false">AVERAGEIFS('Raw (GPT-5.1)'!$D:$D,'Raw (GPT-5.1)'!$A:$A,A154,'Raw (GPT-5.1)'!$B:$B,B154,'Raw (GPT-5.1)'!$C:$C,C154)</f>
        <v>70.2633333333333</v>
      </c>
      <c r="E154" s="12" t="n">
        <f aca="false">AVERAGEIFS('Raw (GPT-5.1)'!$D:$D,'Raw (GPT-5.1)'!$A:$A,"unfiltered",'Raw (GPT-5.1)'!$B:$B,B154,'Raw (GPT-5.1)'!$C:$C,C154)</f>
        <v>66.14</v>
      </c>
      <c r="F154" s="12" t="n">
        <f aca="false">IF(D154&gt;E154,1,0)</f>
        <v>1</v>
      </c>
    </row>
    <row r="155" customFormat="false" ht="15" hidden="false" customHeight="false" outlineLevel="0" collapsed="false">
      <c r="A155" s="12" t="s">
        <v>23</v>
      </c>
      <c r="B155" s="12" t="n">
        <v>0.5</v>
      </c>
      <c r="C155" s="12" t="s">
        <v>33</v>
      </c>
      <c r="D155" s="12" t="n">
        <f aca="false">AVERAGEIFS('Raw (GPT-5.1)'!$D:$D,'Raw (GPT-5.1)'!$A:$A,A155,'Raw (GPT-5.1)'!$B:$B,B155,'Raw (GPT-5.1)'!$C:$C,C155)</f>
        <v>53.26</v>
      </c>
      <c r="E155" s="12" t="n">
        <f aca="false">AVERAGEIFS('Raw (GPT-5.1)'!$D:$D,'Raw (GPT-5.1)'!$A:$A,"unfiltered",'Raw (GPT-5.1)'!$B:$B,B155,'Raw (GPT-5.1)'!$C:$C,C155)</f>
        <v>40.77</v>
      </c>
      <c r="F155" s="12" t="n">
        <f aca="false">IF(D155&gt;E155,1,0)</f>
        <v>1</v>
      </c>
    </row>
    <row r="156" customFormat="false" ht="15" hidden="false" customHeight="false" outlineLevel="0" collapsed="false">
      <c r="A156" s="12" t="s">
        <v>23</v>
      </c>
      <c r="B156" s="12" t="n">
        <v>0.5</v>
      </c>
      <c r="C156" s="12" t="s">
        <v>34</v>
      </c>
      <c r="D156" s="12" t="n">
        <f aca="false">AVERAGEIFS('Raw (GPT-5.1)'!$D:$D,'Raw (GPT-5.1)'!$A:$A,A156,'Raw (GPT-5.1)'!$B:$B,B156,'Raw (GPT-5.1)'!$C:$C,C156)</f>
        <v>43.77</v>
      </c>
      <c r="E156" s="12" t="n">
        <f aca="false">AVERAGEIFS('Raw (GPT-5.1)'!$D:$D,'Raw (GPT-5.1)'!$A:$A,"unfiltered",'Raw (GPT-5.1)'!$B:$B,B156,'Raw (GPT-5.1)'!$C:$C,C156)</f>
        <v>41.89</v>
      </c>
      <c r="F156" s="12" t="n">
        <f aca="false">IF(D156&gt;E156,1,0)</f>
        <v>1</v>
      </c>
    </row>
    <row r="157" customFormat="false" ht="15" hidden="false" customHeight="false" outlineLevel="0" collapsed="false">
      <c r="A157" s="12" t="s">
        <v>23</v>
      </c>
      <c r="B157" s="12" t="n">
        <v>0.5</v>
      </c>
      <c r="C157" s="12" t="s">
        <v>35</v>
      </c>
      <c r="D157" s="12" t="n">
        <f aca="false">AVERAGEIFS('Raw (GPT-5.1)'!$D:$D,'Raw (GPT-5.1)'!$A:$A,A157,'Raw (GPT-5.1)'!$B:$B,B157,'Raw (GPT-5.1)'!$C:$C,C157)</f>
        <v>39.01</v>
      </c>
      <c r="E157" s="12" t="n">
        <f aca="false">AVERAGEIFS('Raw (GPT-5.1)'!$D:$D,'Raw (GPT-5.1)'!$A:$A,"unfiltered",'Raw (GPT-5.1)'!$B:$B,B157,'Raw (GPT-5.1)'!$C:$C,C157)</f>
        <v>41.32</v>
      </c>
      <c r="F157" s="12" t="n">
        <f aca="false">IF(D157&gt;E157,1,0)</f>
        <v>0</v>
      </c>
    </row>
    <row r="158" customFormat="false" ht="15" hidden="false" customHeight="false" outlineLevel="0" collapsed="false">
      <c r="A158" s="12" t="s">
        <v>23</v>
      </c>
      <c r="B158" s="12" t="n">
        <v>0.5</v>
      </c>
      <c r="C158" s="12" t="s">
        <v>36</v>
      </c>
      <c r="D158" s="12" t="n">
        <f aca="false">AVERAGEIFS('Raw (GPT-5.1)'!$D:$D,'Raw (GPT-5.1)'!$A:$A,A158,'Raw (GPT-5.1)'!$B:$B,B158,'Raw (GPT-5.1)'!$C:$C,C158)</f>
        <v>30.84</v>
      </c>
      <c r="E158" s="12" t="n">
        <f aca="false">AVERAGEIFS('Raw (GPT-5.1)'!$D:$D,'Raw (GPT-5.1)'!$A:$A,"unfiltered",'Raw (GPT-5.1)'!$B:$B,B158,'Raw (GPT-5.1)'!$C:$C,C158)</f>
        <v>35.01</v>
      </c>
      <c r="F158" s="12" t="n">
        <f aca="false">IF(D158&gt;E158,1,0)</f>
        <v>0</v>
      </c>
    </row>
    <row r="159" customFormat="false" ht="15" hidden="false" customHeight="false" outlineLevel="0" collapsed="false">
      <c r="A159" s="12" t="s">
        <v>23</v>
      </c>
      <c r="B159" s="12" t="n">
        <v>0.5</v>
      </c>
      <c r="C159" s="12" t="s">
        <v>37</v>
      </c>
      <c r="D159" s="12" t="n">
        <f aca="false">AVERAGEIFS('Raw (GPT-5.1)'!$D:$D,'Raw (GPT-5.1)'!$A:$A,A159,'Raw (GPT-5.1)'!$B:$B,B159,'Raw (GPT-5.1)'!$C:$C,C159)</f>
        <v>22.49</v>
      </c>
      <c r="E159" s="12" t="n">
        <f aca="false">AVERAGEIFS('Raw (GPT-5.1)'!$D:$D,'Raw (GPT-5.1)'!$A:$A,"unfiltered",'Raw (GPT-5.1)'!$B:$B,B159,'Raw (GPT-5.1)'!$C:$C,C159)</f>
        <v>42.02</v>
      </c>
      <c r="F159" s="12" t="n">
        <f aca="false">IF(D159&gt;E159,1,0)</f>
        <v>0</v>
      </c>
    </row>
    <row r="160" customFormat="false" ht="15" hidden="false" customHeight="false" outlineLevel="0" collapsed="false">
      <c r="A160" s="12" t="s">
        <v>23</v>
      </c>
      <c r="B160" s="12" t="n">
        <v>0.5</v>
      </c>
      <c r="C160" s="12" t="s">
        <v>38</v>
      </c>
      <c r="D160" s="12" t="n">
        <f aca="false">AVERAGEIFS('Raw (GPT-5.1)'!$D:$D,'Raw (GPT-5.1)'!$A:$A,A160,'Raw (GPT-5.1)'!$B:$B,B160,'Raw (GPT-5.1)'!$C:$C,C160)</f>
        <v>30.9</v>
      </c>
      <c r="E160" s="12" t="n">
        <f aca="false">AVERAGEIFS('Raw (GPT-5.1)'!$D:$D,'Raw (GPT-5.1)'!$A:$A,"unfiltered",'Raw (GPT-5.1)'!$B:$B,B160,'Raw (GPT-5.1)'!$C:$C,C160)</f>
        <v>48.7</v>
      </c>
      <c r="F160" s="12" t="n">
        <f aca="false">IF(D160&gt;E160,1,0)</f>
        <v>0</v>
      </c>
    </row>
    <row r="161" customFormat="false" ht="15" hidden="false" customHeight="false" outlineLevel="0" collapsed="false">
      <c r="A161" s="12" t="s">
        <v>23</v>
      </c>
      <c r="B161" s="12" t="n">
        <v>0.5</v>
      </c>
      <c r="C161" s="12" t="s">
        <v>39</v>
      </c>
      <c r="D161" s="12" t="n">
        <f aca="false">AVERAGEIFS('Raw (GPT-5.1)'!$D:$D,'Raw (GPT-5.1)'!$A:$A,A161,'Raw (GPT-5.1)'!$B:$B,B161,'Raw (GPT-5.1)'!$C:$C,C161)</f>
        <v>19.68</v>
      </c>
      <c r="E161" s="12" t="n">
        <f aca="false">AVERAGEIFS('Raw (GPT-5.1)'!$D:$D,'Raw (GPT-5.1)'!$A:$A,"unfiltered",'Raw (GPT-5.1)'!$B:$B,B161,'Raw (GPT-5.1)'!$C:$C,C161)</f>
        <v>52.39</v>
      </c>
      <c r="F161" s="12" t="n">
        <f aca="false">IF(D161&gt;E161,1,0)</f>
        <v>0</v>
      </c>
    </row>
    <row r="162" customFormat="false" ht="15" hidden="false" customHeight="false" outlineLevel="0" collapsed="false">
      <c r="A162" s="12" t="s">
        <v>23</v>
      </c>
      <c r="B162" s="12" t="n">
        <v>0.5</v>
      </c>
      <c r="C162" s="12" t="s">
        <v>40</v>
      </c>
      <c r="D162" s="12" t="n">
        <f aca="false">AVERAGEIFS('Raw (GPT-5.1)'!$D:$D,'Raw (GPT-5.1)'!$A:$A,A162,'Raw (GPT-5.1)'!$B:$B,B162,'Raw (GPT-5.1)'!$C:$C,C162)</f>
        <v>43.36</v>
      </c>
      <c r="E162" s="12" t="n">
        <f aca="false">AVERAGEIFS('Raw (GPT-5.1)'!$D:$D,'Raw (GPT-5.1)'!$A:$A,"unfiltered",'Raw (GPT-5.1)'!$B:$B,B162,'Raw (GPT-5.1)'!$C:$C,C162)</f>
        <v>33.75</v>
      </c>
      <c r="F162" s="12" t="n">
        <f aca="false">IF(D162&gt;E162,1,0)</f>
        <v>1</v>
      </c>
    </row>
    <row r="163" customFormat="false" ht="15" hidden="false" customHeight="false" outlineLevel="0" collapsed="false">
      <c r="A163" s="12" t="s">
        <v>23</v>
      </c>
      <c r="B163" s="12" t="n">
        <v>0.5</v>
      </c>
      <c r="C163" s="12" t="s">
        <v>41</v>
      </c>
      <c r="D163" s="12" t="n">
        <f aca="false">AVERAGEIFS('Raw (GPT-5.1)'!$D:$D,'Raw (GPT-5.1)'!$A:$A,A163,'Raw (GPT-5.1)'!$B:$B,B163,'Raw (GPT-5.1)'!$C:$C,C163)</f>
        <v>40.03</v>
      </c>
      <c r="E163" s="12" t="n">
        <f aca="false">AVERAGEIFS('Raw (GPT-5.1)'!$D:$D,'Raw (GPT-5.1)'!$A:$A,"unfiltered",'Raw (GPT-5.1)'!$B:$B,B163,'Raw (GPT-5.1)'!$C:$C,C163)</f>
        <v>70.86</v>
      </c>
      <c r="F163" s="12" t="n">
        <f aca="false">IF(D163&gt;E163,1,0)</f>
        <v>0</v>
      </c>
    </row>
    <row r="164" customFormat="false" ht="15" hidden="false" customHeight="false" outlineLevel="0" collapsed="false">
      <c r="A164" s="12" t="s">
        <v>27</v>
      </c>
      <c r="B164" s="12" t="n">
        <v>0.3</v>
      </c>
      <c r="C164" s="12" t="s">
        <v>33</v>
      </c>
      <c r="D164" s="12" t="n">
        <f aca="false">AVERAGEIFS('Raw (GPT-5.1)'!$D:$D,'Raw (GPT-5.1)'!$A:$A,A164,'Raw (GPT-5.1)'!$B:$B,B164,'Raw (GPT-5.1)'!$C:$C,C164)</f>
        <v>23.6066666666667</v>
      </c>
      <c r="E164" s="12" t="n">
        <f aca="false">AVERAGEIFS('Raw (GPT-5.1)'!$D:$D,'Raw (GPT-5.1)'!$A:$A,"unfiltered",'Raw (GPT-5.1)'!$B:$B,B164,'Raw (GPT-5.1)'!$C:$C,C164)</f>
        <v>35.4</v>
      </c>
      <c r="F164" s="12" t="n">
        <f aca="false">IF(D164&gt;E164,1,0)</f>
        <v>0</v>
      </c>
    </row>
    <row r="165" customFormat="false" ht="15" hidden="false" customHeight="false" outlineLevel="0" collapsed="false">
      <c r="A165" s="12" t="s">
        <v>27</v>
      </c>
      <c r="B165" s="12" t="n">
        <v>0.3</v>
      </c>
      <c r="C165" s="12" t="s">
        <v>34</v>
      </c>
      <c r="D165" s="12" t="n">
        <f aca="false">AVERAGEIFS('Raw (GPT-5.1)'!$D:$D,'Raw (GPT-5.1)'!$A:$A,A165,'Raw (GPT-5.1)'!$B:$B,B165,'Raw (GPT-5.1)'!$C:$C,C165)</f>
        <v>42.0533333333333</v>
      </c>
      <c r="E165" s="12" t="n">
        <f aca="false">AVERAGEIFS('Raw (GPT-5.1)'!$D:$D,'Raw (GPT-5.1)'!$A:$A,"unfiltered",'Raw (GPT-5.1)'!$B:$B,B165,'Raw (GPT-5.1)'!$C:$C,C165)</f>
        <v>39.4</v>
      </c>
      <c r="F165" s="12" t="n">
        <f aca="false">IF(D165&gt;E165,1,0)</f>
        <v>1</v>
      </c>
    </row>
    <row r="166" customFormat="false" ht="15" hidden="false" customHeight="false" outlineLevel="0" collapsed="false">
      <c r="A166" s="12" t="s">
        <v>27</v>
      </c>
      <c r="B166" s="12" t="n">
        <v>0.3</v>
      </c>
      <c r="C166" s="12" t="s">
        <v>35</v>
      </c>
      <c r="D166" s="12" t="n">
        <f aca="false">AVERAGEIFS('Raw (GPT-5.1)'!$D:$D,'Raw (GPT-5.1)'!$A:$A,A166,'Raw (GPT-5.1)'!$B:$B,B166,'Raw (GPT-5.1)'!$C:$C,C166)</f>
        <v>35.1733333333333</v>
      </c>
      <c r="E166" s="12" t="n">
        <f aca="false">AVERAGEIFS('Raw (GPT-5.1)'!$D:$D,'Raw (GPT-5.1)'!$A:$A,"unfiltered",'Raw (GPT-5.1)'!$B:$B,B166,'Raw (GPT-5.1)'!$C:$C,C166)</f>
        <v>32.24</v>
      </c>
      <c r="F166" s="12" t="n">
        <f aca="false">IF(D166&gt;E166,1,0)</f>
        <v>1</v>
      </c>
    </row>
    <row r="167" customFormat="false" ht="15" hidden="false" customHeight="false" outlineLevel="0" collapsed="false">
      <c r="A167" s="12" t="s">
        <v>27</v>
      </c>
      <c r="B167" s="12" t="n">
        <v>0.3</v>
      </c>
      <c r="C167" s="12" t="s">
        <v>36</v>
      </c>
      <c r="D167" s="12" t="n">
        <f aca="false">AVERAGEIFS('Raw (GPT-5.1)'!$D:$D,'Raw (GPT-5.1)'!$A:$A,A167,'Raw (GPT-5.1)'!$B:$B,B167,'Raw (GPT-5.1)'!$C:$C,C167)</f>
        <v>29.32</v>
      </c>
      <c r="E167" s="12" t="n">
        <f aca="false">AVERAGEIFS('Raw (GPT-5.1)'!$D:$D,'Raw (GPT-5.1)'!$A:$A,"unfiltered",'Raw (GPT-5.1)'!$B:$B,B167,'Raw (GPT-5.1)'!$C:$C,C167)</f>
        <v>34.79</v>
      </c>
      <c r="F167" s="12" t="n">
        <f aca="false">IF(D167&gt;E167,1,0)</f>
        <v>0</v>
      </c>
    </row>
    <row r="168" customFormat="false" ht="15" hidden="false" customHeight="false" outlineLevel="0" collapsed="false">
      <c r="A168" s="12" t="s">
        <v>27</v>
      </c>
      <c r="B168" s="12" t="n">
        <v>0.3</v>
      </c>
      <c r="C168" s="12" t="s">
        <v>37</v>
      </c>
      <c r="D168" s="12" t="n">
        <f aca="false">AVERAGEIFS('Raw (GPT-5.1)'!$D:$D,'Raw (GPT-5.1)'!$A:$A,A168,'Raw (GPT-5.1)'!$B:$B,B168,'Raw (GPT-5.1)'!$C:$C,C168)</f>
        <v>30.98</v>
      </c>
      <c r="E168" s="12" t="n">
        <f aca="false">AVERAGEIFS('Raw (GPT-5.1)'!$D:$D,'Raw (GPT-5.1)'!$A:$A,"unfiltered",'Raw (GPT-5.1)'!$B:$B,B168,'Raw (GPT-5.1)'!$C:$C,C168)</f>
        <v>40.76</v>
      </c>
      <c r="F168" s="12" t="n">
        <f aca="false">IF(D168&gt;E168,1,0)</f>
        <v>0</v>
      </c>
    </row>
    <row r="169" customFormat="false" ht="15" hidden="false" customHeight="false" outlineLevel="0" collapsed="false">
      <c r="A169" s="12" t="s">
        <v>27</v>
      </c>
      <c r="B169" s="12" t="n">
        <v>0.3</v>
      </c>
      <c r="C169" s="12" t="s">
        <v>38</v>
      </c>
      <c r="D169" s="12" t="n">
        <f aca="false">AVERAGEIFS('Raw (GPT-5.1)'!$D:$D,'Raw (GPT-5.1)'!$A:$A,A169,'Raw (GPT-5.1)'!$B:$B,B169,'Raw (GPT-5.1)'!$C:$C,C169)</f>
        <v>37.66</v>
      </c>
      <c r="E169" s="12" t="n">
        <f aca="false">AVERAGEIFS('Raw (GPT-5.1)'!$D:$D,'Raw (GPT-5.1)'!$A:$A,"unfiltered",'Raw (GPT-5.1)'!$B:$B,B169,'Raw (GPT-5.1)'!$C:$C,C169)</f>
        <v>60.11</v>
      </c>
      <c r="F169" s="12" t="n">
        <f aca="false">IF(D169&gt;E169,1,0)</f>
        <v>0</v>
      </c>
    </row>
    <row r="170" customFormat="false" ht="15" hidden="false" customHeight="false" outlineLevel="0" collapsed="false">
      <c r="A170" s="12" t="s">
        <v>27</v>
      </c>
      <c r="B170" s="12" t="n">
        <v>0.3</v>
      </c>
      <c r="C170" s="12" t="s">
        <v>39</v>
      </c>
      <c r="D170" s="12" t="n">
        <f aca="false">AVERAGEIFS('Raw (GPT-5.1)'!$D:$D,'Raw (GPT-5.1)'!$A:$A,A170,'Raw (GPT-5.1)'!$B:$B,B170,'Raw (GPT-5.1)'!$C:$C,C170)</f>
        <v>3.29333333333333</v>
      </c>
      <c r="E170" s="12" t="n">
        <f aca="false">AVERAGEIFS('Raw (GPT-5.1)'!$D:$D,'Raw (GPT-5.1)'!$A:$A,"unfiltered",'Raw (GPT-5.1)'!$B:$B,B170,'Raw (GPT-5.1)'!$C:$C,C170)</f>
        <v>44.77</v>
      </c>
      <c r="F170" s="12" t="n">
        <f aca="false">IF(D170&gt;E170,1,0)</f>
        <v>0</v>
      </c>
    </row>
    <row r="171" customFormat="false" ht="15" hidden="false" customHeight="false" outlineLevel="0" collapsed="false">
      <c r="A171" s="12" t="s">
        <v>27</v>
      </c>
      <c r="B171" s="12" t="n">
        <v>0.3</v>
      </c>
      <c r="C171" s="12" t="s">
        <v>40</v>
      </c>
      <c r="D171" s="12" t="n">
        <f aca="false">AVERAGEIFS('Raw (GPT-5.1)'!$D:$D,'Raw (GPT-5.1)'!$A:$A,A171,'Raw (GPT-5.1)'!$B:$B,B171,'Raw (GPT-5.1)'!$C:$C,C171)</f>
        <v>54.1366666666667</v>
      </c>
      <c r="E171" s="12" t="n">
        <f aca="false">AVERAGEIFS('Raw (GPT-5.1)'!$D:$D,'Raw (GPT-5.1)'!$A:$A,"unfiltered",'Raw (GPT-5.1)'!$B:$B,B171,'Raw (GPT-5.1)'!$C:$C,C171)</f>
        <v>63.17</v>
      </c>
      <c r="F171" s="12" t="n">
        <f aca="false">IF(D171&gt;E171,1,0)</f>
        <v>0</v>
      </c>
    </row>
    <row r="172" customFormat="false" ht="15" hidden="false" customHeight="false" outlineLevel="0" collapsed="false">
      <c r="A172" s="12" t="s">
        <v>27</v>
      </c>
      <c r="B172" s="12" t="n">
        <v>0.3</v>
      </c>
      <c r="C172" s="12" t="s">
        <v>41</v>
      </c>
      <c r="D172" s="12" t="n">
        <f aca="false">AVERAGEIFS('Raw (GPT-5.1)'!$D:$D,'Raw (GPT-5.1)'!$A:$A,A172,'Raw (GPT-5.1)'!$B:$B,B172,'Raw (GPT-5.1)'!$C:$C,C172)</f>
        <v>33.08</v>
      </c>
      <c r="E172" s="12" t="n">
        <f aca="false">AVERAGEIFS('Raw (GPT-5.1)'!$D:$D,'Raw (GPT-5.1)'!$A:$A,"unfiltered",'Raw (GPT-5.1)'!$B:$B,B172,'Raw (GPT-5.1)'!$C:$C,C172)</f>
        <v>57.9</v>
      </c>
      <c r="F172" s="12" t="n">
        <f aca="false">IF(D172&gt;E172,1,0)</f>
        <v>0</v>
      </c>
    </row>
    <row r="173" customFormat="false" ht="15" hidden="false" customHeight="false" outlineLevel="0" collapsed="false">
      <c r="A173" s="12" t="s">
        <v>27</v>
      </c>
      <c r="B173" s="12" t="n">
        <v>0.4</v>
      </c>
      <c r="C173" s="12" t="s">
        <v>33</v>
      </c>
      <c r="D173" s="12" t="n">
        <f aca="false">AVERAGEIFS('Raw (GPT-5.1)'!$D:$D,'Raw (GPT-5.1)'!$A:$A,A173,'Raw (GPT-5.1)'!$B:$B,B173,'Raw (GPT-5.1)'!$C:$C,C173)</f>
        <v>30.1633333333333</v>
      </c>
      <c r="E173" s="12" t="n">
        <f aca="false">AVERAGEIFS('Raw (GPT-5.1)'!$D:$D,'Raw (GPT-5.1)'!$A:$A,"unfiltered",'Raw (GPT-5.1)'!$B:$B,B173,'Raw (GPT-5.1)'!$C:$C,C173)</f>
        <v>36.69</v>
      </c>
      <c r="F173" s="12" t="n">
        <f aca="false">IF(D173&gt;E173,1,0)</f>
        <v>0</v>
      </c>
    </row>
    <row r="174" customFormat="false" ht="15" hidden="false" customHeight="false" outlineLevel="0" collapsed="false">
      <c r="A174" s="12" t="s">
        <v>27</v>
      </c>
      <c r="B174" s="12" t="n">
        <v>0.4</v>
      </c>
      <c r="C174" s="12" t="s">
        <v>34</v>
      </c>
      <c r="D174" s="12" t="n">
        <f aca="false">AVERAGEIFS('Raw (GPT-5.1)'!$D:$D,'Raw (GPT-5.1)'!$A:$A,A174,'Raw (GPT-5.1)'!$B:$B,B174,'Raw (GPT-5.1)'!$C:$C,C174)</f>
        <v>36.8566666666667</v>
      </c>
      <c r="E174" s="12" t="n">
        <f aca="false">AVERAGEIFS('Raw (GPT-5.1)'!$D:$D,'Raw (GPT-5.1)'!$A:$A,"unfiltered",'Raw (GPT-5.1)'!$B:$B,B174,'Raw (GPT-5.1)'!$C:$C,C174)</f>
        <v>43.96</v>
      </c>
      <c r="F174" s="12" t="n">
        <f aca="false">IF(D174&gt;E174,1,0)</f>
        <v>0</v>
      </c>
    </row>
    <row r="175" customFormat="false" ht="15" hidden="false" customHeight="false" outlineLevel="0" collapsed="false">
      <c r="A175" s="12" t="s">
        <v>27</v>
      </c>
      <c r="B175" s="12" t="n">
        <v>0.4</v>
      </c>
      <c r="C175" s="12" t="s">
        <v>35</v>
      </c>
      <c r="D175" s="12" t="n">
        <f aca="false">AVERAGEIFS('Raw (GPT-5.1)'!$D:$D,'Raw (GPT-5.1)'!$A:$A,A175,'Raw (GPT-5.1)'!$B:$B,B175,'Raw (GPT-5.1)'!$C:$C,C175)</f>
        <v>29.6466666666667</v>
      </c>
      <c r="E175" s="12" t="n">
        <f aca="false">AVERAGEIFS('Raw (GPT-5.1)'!$D:$D,'Raw (GPT-5.1)'!$A:$A,"unfiltered",'Raw (GPT-5.1)'!$B:$B,B175,'Raw (GPT-5.1)'!$C:$C,C175)</f>
        <v>38.65</v>
      </c>
      <c r="F175" s="12" t="n">
        <f aca="false">IF(D175&gt;E175,1,0)</f>
        <v>0</v>
      </c>
    </row>
    <row r="176" customFormat="false" ht="15" hidden="false" customHeight="false" outlineLevel="0" collapsed="false">
      <c r="A176" s="12" t="s">
        <v>27</v>
      </c>
      <c r="B176" s="12" t="n">
        <v>0.4</v>
      </c>
      <c r="C176" s="12" t="s">
        <v>36</v>
      </c>
      <c r="D176" s="12" t="n">
        <f aca="false">AVERAGEIFS('Raw (GPT-5.1)'!$D:$D,'Raw (GPT-5.1)'!$A:$A,A176,'Raw (GPT-5.1)'!$B:$B,B176,'Raw (GPT-5.1)'!$C:$C,C176)</f>
        <v>31.2366666666667</v>
      </c>
      <c r="E176" s="12" t="n">
        <f aca="false">AVERAGEIFS('Raw (GPT-5.1)'!$D:$D,'Raw (GPT-5.1)'!$A:$A,"unfiltered",'Raw (GPT-5.1)'!$B:$B,B176,'Raw (GPT-5.1)'!$C:$C,C176)</f>
        <v>31.19</v>
      </c>
      <c r="F176" s="12" t="n">
        <f aca="false">IF(D176&gt;E176,1,0)</f>
        <v>1</v>
      </c>
    </row>
    <row r="177" customFormat="false" ht="15" hidden="false" customHeight="false" outlineLevel="0" collapsed="false">
      <c r="A177" s="12" t="s">
        <v>27</v>
      </c>
      <c r="B177" s="12" t="n">
        <v>0.4</v>
      </c>
      <c r="C177" s="12" t="s">
        <v>37</v>
      </c>
      <c r="D177" s="12" t="n">
        <f aca="false">AVERAGEIFS('Raw (GPT-5.1)'!$D:$D,'Raw (GPT-5.1)'!$A:$A,A177,'Raw (GPT-5.1)'!$B:$B,B177,'Raw (GPT-5.1)'!$C:$C,C177)</f>
        <v>32.8766666666667</v>
      </c>
      <c r="E177" s="12" t="n">
        <f aca="false">AVERAGEIFS('Raw (GPT-5.1)'!$D:$D,'Raw (GPT-5.1)'!$A:$A,"unfiltered",'Raw (GPT-5.1)'!$B:$B,B177,'Raw (GPT-5.1)'!$C:$C,C177)</f>
        <v>28.79</v>
      </c>
      <c r="F177" s="12" t="n">
        <f aca="false">IF(D177&gt;E177,1,0)</f>
        <v>1</v>
      </c>
    </row>
    <row r="178" customFormat="false" ht="15" hidden="false" customHeight="false" outlineLevel="0" collapsed="false">
      <c r="A178" s="12" t="s">
        <v>27</v>
      </c>
      <c r="B178" s="12" t="n">
        <v>0.4</v>
      </c>
      <c r="C178" s="12" t="s">
        <v>38</v>
      </c>
      <c r="D178" s="12" t="n">
        <f aca="false">AVERAGEIFS('Raw (GPT-5.1)'!$D:$D,'Raw (GPT-5.1)'!$A:$A,A178,'Raw (GPT-5.1)'!$B:$B,B178,'Raw (GPT-5.1)'!$C:$C,C178)</f>
        <v>29.94</v>
      </c>
      <c r="E178" s="12" t="n">
        <f aca="false">AVERAGEIFS('Raw (GPT-5.1)'!$D:$D,'Raw (GPT-5.1)'!$A:$A,"unfiltered",'Raw (GPT-5.1)'!$B:$B,B178,'Raw (GPT-5.1)'!$C:$C,C178)</f>
        <v>47.46</v>
      </c>
      <c r="F178" s="12" t="n">
        <f aca="false">IF(D178&gt;E178,1,0)</f>
        <v>0</v>
      </c>
    </row>
    <row r="179" customFormat="false" ht="15" hidden="false" customHeight="false" outlineLevel="0" collapsed="false">
      <c r="A179" s="12" t="s">
        <v>27</v>
      </c>
      <c r="B179" s="12" t="n">
        <v>0.4</v>
      </c>
      <c r="C179" s="12" t="s">
        <v>39</v>
      </c>
      <c r="D179" s="12" t="n">
        <f aca="false">AVERAGEIFS('Raw (GPT-5.1)'!$D:$D,'Raw (GPT-5.1)'!$A:$A,A179,'Raw (GPT-5.1)'!$B:$B,B179,'Raw (GPT-5.1)'!$C:$C,C179)</f>
        <v>25.3966666666667</v>
      </c>
      <c r="E179" s="12" t="n">
        <f aca="false">AVERAGEIFS('Raw (GPT-5.1)'!$D:$D,'Raw (GPT-5.1)'!$A:$A,"unfiltered",'Raw (GPT-5.1)'!$B:$B,B179,'Raw (GPT-5.1)'!$C:$C,C179)</f>
        <v>52.45</v>
      </c>
      <c r="F179" s="12" t="n">
        <f aca="false">IF(D179&gt;E179,1,0)</f>
        <v>0</v>
      </c>
    </row>
    <row r="180" customFormat="false" ht="15" hidden="false" customHeight="false" outlineLevel="0" collapsed="false">
      <c r="A180" s="12" t="s">
        <v>27</v>
      </c>
      <c r="B180" s="12" t="n">
        <v>0.4</v>
      </c>
      <c r="C180" s="12" t="s">
        <v>40</v>
      </c>
      <c r="D180" s="12" t="n">
        <f aca="false">AVERAGEIFS('Raw (GPT-5.1)'!$D:$D,'Raw (GPT-5.1)'!$A:$A,A180,'Raw (GPT-5.1)'!$B:$B,B180,'Raw (GPT-5.1)'!$C:$C,C180)</f>
        <v>47.7033333333333</v>
      </c>
      <c r="E180" s="12" t="n">
        <f aca="false">AVERAGEIFS('Raw (GPT-5.1)'!$D:$D,'Raw (GPT-5.1)'!$A:$A,"unfiltered",'Raw (GPT-5.1)'!$B:$B,B180,'Raw (GPT-5.1)'!$C:$C,C180)</f>
        <v>72.88</v>
      </c>
      <c r="F180" s="12" t="n">
        <f aca="false">IF(D180&gt;E180,1,0)</f>
        <v>0</v>
      </c>
    </row>
    <row r="181" customFormat="false" ht="15" hidden="false" customHeight="false" outlineLevel="0" collapsed="false">
      <c r="A181" s="12" t="s">
        <v>27</v>
      </c>
      <c r="B181" s="12" t="n">
        <v>0.4</v>
      </c>
      <c r="C181" s="12" t="s">
        <v>41</v>
      </c>
      <c r="D181" s="12" t="n">
        <f aca="false">AVERAGEIFS('Raw (GPT-5.1)'!$D:$D,'Raw (GPT-5.1)'!$A:$A,A181,'Raw (GPT-5.1)'!$B:$B,B181,'Raw (GPT-5.1)'!$C:$C,C181)</f>
        <v>39.67</v>
      </c>
      <c r="E181" s="12" t="n">
        <f aca="false">AVERAGEIFS('Raw (GPT-5.1)'!$D:$D,'Raw (GPT-5.1)'!$A:$A,"unfiltered",'Raw (GPT-5.1)'!$B:$B,B181,'Raw (GPT-5.1)'!$C:$C,C181)</f>
        <v>66.14</v>
      </c>
      <c r="F181" s="12" t="n">
        <f aca="false">IF(D181&gt;E181,1,0)</f>
        <v>0</v>
      </c>
    </row>
    <row r="182" customFormat="false" ht="15" hidden="false" customHeight="false" outlineLevel="0" collapsed="false">
      <c r="A182" s="12" t="s">
        <v>27</v>
      </c>
      <c r="B182" s="12" t="n">
        <v>0.5</v>
      </c>
      <c r="C182" s="12" t="s">
        <v>33</v>
      </c>
      <c r="D182" s="12" t="n">
        <f aca="false">AVERAGEIFS('Raw (GPT-5.1)'!$D:$D,'Raw (GPT-5.1)'!$A:$A,A182,'Raw (GPT-5.1)'!$B:$B,B182,'Raw (GPT-5.1)'!$C:$C,C182)</f>
        <v>28.83</v>
      </c>
      <c r="E182" s="12" t="n">
        <f aca="false">AVERAGEIFS('Raw (GPT-5.1)'!$D:$D,'Raw (GPT-5.1)'!$A:$A,"unfiltered",'Raw (GPT-5.1)'!$B:$B,B182,'Raw (GPT-5.1)'!$C:$C,C182)</f>
        <v>40.77</v>
      </c>
      <c r="F182" s="12" t="n">
        <f aca="false">IF(D182&gt;E182,1,0)</f>
        <v>0</v>
      </c>
    </row>
    <row r="183" customFormat="false" ht="15" hidden="false" customHeight="false" outlineLevel="0" collapsed="false">
      <c r="A183" s="12" t="s">
        <v>27</v>
      </c>
      <c r="B183" s="12" t="n">
        <v>0.5</v>
      </c>
      <c r="C183" s="12" t="s">
        <v>34</v>
      </c>
      <c r="D183" s="12" t="n">
        <f aca="false">AVERAGEIFS('Raw (GPT-5.1)'!$D:$D,'Raw (GPT-5.1)'!$A:$A,A183,'Raw (GPT-5.1)'!$B:$B,B183,'Raw (GPT-5.1)'!$C:$C,C183)</f>
        <v>37.79</v>
      </c>
      <c r="E183" s="12" t="n">
        <f aca="false">AVERAGEIFS('Raw (GPT-5.1)'!$D:$D,'Raw (GPT-5.1)'!$A:$A,"unfiltered",'Raw (GPT-5.1)'!$B:$B,B183,'Raw (GPT-5.1)'!$C:$C,C183)</f>
        <v>41.89</v>
      </c>
      <c r="F183" s="12" t="n">
        <f aca="false">IF(D183&gt;E183,1,0)</f>
        <v>0</v>
      </c>
    </row>
    <row r="184" customFormat="false" ht="15" hidden="false" customHeight="false" outlineLevel="0" collapsed="false">
      <c r="A184" s="12" t="s">
        <v>27</v>
      </c>
      <c r="B184" s="12" t="n">
        <v>0.5</v>
      </c>
      <c r="C184" s="12" t="s">
        <v>35</v>
      </c>
      <c r="D184" s="12" t="n">
        <f aca="false">AVERAGEIFS('Raw (GPT-5.1)'!$D:$D,'Raw (GPT-5.1)'!$A:$A,A184,'Raw (GPT-5.1)'!$B:$B,B184,'Raw (GPT-5.1)'!$C:$C,C184)</f>
        <v>18.03</v>
      </c>
      <c r="E184" s="12" t="n">
        <f aca="false">AVERAGEIFS('Raw (GPT-5.1)'!$D:$D,'Raw (GPT-5.1)'!$A:$A,"unfiltered",'Raw (GPT-5.1)'!$B:$B,B184,'Raw (GPT-5.1)'!$C:$C,C184)</f>
        <v>41.32</v>
      </c>
      <c r="F184" s="12" t="n">
        <f aca="false">IF(D184&gt;E184,1,0)</f>
        <v>0</v>
      </c>
    </row>
    <row r="185" customFormat="false" ht="15" hidden="false" customHeight="false" outlineLevel="0" collapsed="false">
      <c r="A185" s="12" t="s">
        <v>27</v>
      </c>
      <c r="B185" s="12" t="n">
        <v>0.5</v>
      </c>
      <c r="C185" s="12" t="s">
        <v>36</v>
      </c>
      <c r="D185" s="12" t="n">
        <f aca="false">AVERAGEIFS('Raw (GPT-5.1)'!$D:$D,'Raw (GPT-5.1)'!$A:$A,A185,'Raw (GPT-5.1)'!$B:$B,B185,'Raw (GPT-5.1)'!$C:$C,C185)</f>
        <v>22.06</v>
      </c>
      <c r="E185" s="12" t="n">
        <f aca="false">AVERAGEIFS('Raw (GPT-5.1)'!$D:$D,'Raw (GPT-5.1)'!$A:$A,"unfiltered",'Raw (GPT-5.1)'!$B:$B,B185,'Raw (GPT-5.1)'!$C:$C,C185)</f>
        <v>35.01</v>
      </c>
      <c r="F185" s="12" t="n">
        <f aca="false">IF(D185&gt;E185,1,0)</f>
        <v>0</v>
      </c>
    </row>
    <row r="186" customFormat="false" ht="15" hidden="false" customHeight="false" outlineLevel="0" collapsed="false">
      <c r="A186" s="12" t="s">
        <v>27</v>
      </c>
      <c r="B186" s="12" t="n">
        <v>0.5</v>
      </c>
      <c r="C186" s="12" t="s">
        <v>37</v>
      </c>
      <c r="D186" s="12" t="n">
        <f aca="false">AVERAGEIFS('Raw (GPT-5.1)'!$D:$D,'Raw (GPT-5.1)'!$A:$A,A186,'Raw (GPT-5.1)'!$B:$B,B186,'Raw (GPT-5.1)'!$C:$C,C186)</f>
        <v>31.08</v>
      </c>
      <c r="E186" s="12" t="n">
        <f aca="false">AVERAGEIFS('Raw (GPT-5.1)'!$D:$D,'Raw (GPT-5.1)'!$A:$A,"unfiltered",'Raw (GPT-5.1)'!$B:$B,B186,'Raw (GPT-5.1)'!$C:$C,C186)</f>
        <v>42.02</v>
      </c>
      <c r="F186" s="12" t="n">
        <f aca="false">IF(D186&gt;E186,1,0)</f>
        <v>0</v>
      </c>
    </row>
    <row r="187" customFormat="false" ht="15" hidden="false" customHeight="false" outlineLevel="0" collapsed="false">
      <c r="A187" s="12" t="s">
        <v>27</v>
      </c>
      <c r="B187" s="12" t="n">
        <v>0.5</v>
      </c>
      <c r="C187" s="12" t="s">
        <v>38</v>
      </c>
      <c r="D187" s="12" t="n">
        <f aca="false">AVERAGEIFS('Raw (GPT-5.1)'!$D:$D,'Raw (GPT-5.1)'!$A:$A,A187,'Raw (GPT-5.1)'!$B:$B,B187,'Raw (GPT-5.1)'!$C:$C,C187)</f>
        <v>25.22</v>
      </c>
      <c r="E187" s="12" t="n">
        <f aca="false">AVERAGEIFS('Raw (GPT-5.1)'!$D:$D,'Raw (GPT-5.1)'!$A:$A,"unfiltered",'Raw (GPT-5.1)'!$B:$B,B187,'Raw (GPT-5.1)'!$C:$C,C187)</f>
        <v>48.7</v>
      </c>
      <c r="F187" s="12" t="n">
        <f aca="false">IF(D187&gt;E187,1,0)</f>
        <v>0</v>
      </c>
    </row>
    <row r="188" customFormat="false" ht="15" hidden="false" customHeight="false" outlineLevel="0" collapsed="false">
      <c r="A188" s="12" t="s">
        <v>27</v>
      </c>
      <c r="B188" s="12" t="n">
        <v>0.5</v>
      </c>
      <c r="C188" s="12" t="s">
        <v>39</v>
      </c>
      <c r="D188" s="12" t="n">
        <f aca="false">AVERAGEIFS('Raw (GPT-5.1)'!$D:$D,'Raw (GPT-5.1)'!$A:$A,A188,'Raw (GPT-5.1)'!$B:$B,B188,'Raw (GPT-5.1)'!$C:$C,C188)</f>
        <v>2.86</v>
      </c>
      <c r="E188" s="12" t="n">
        <f aca="false">AVERAGEIFS('Raw (GPT-5.1)'!$D:$D,'Raw (GPT-5.1)'!$A:$A,"unfiltered",'Raw (GPT-5.1)'!$B:$B,B188,'Raw (GPT-5.1)'!$C:$C,C188)</f>
        <v>52.39</v>
      </c>
      <c r="F188" s="12" t="n">
        <f aca="false">IF(D188&gt;E188,1,0)</f>
        <v>0</v>
      </c>
    </row>
    <row r="189" customFormat="false" ht="15" hidden="false" customHeight="false" outlineLevel="0" collapsed="false">
      <c r="A189" s="12" t="s">
        <v>27</v>
      </c>
      <c r="B189" s="12" t="n">
        <v>0.5</v>
      </c>
      <c r="C189" s="12" t="s">
        <v>40</v>
      </c>
      <c r="D189" s="12" t="n">
        <f aca="false">AVERAGEIFS('Raw (GPT-5.1)'!$D:$D,'Raw (GPT-5.1)'!$A:$A,A189,'Raw (GPT-5.1)'!$B:$B,B189,'Raw (GPT-5.1)'!$C:$C,C189)</f>
        <v>64.11</v>
      </c>
      <c r="E189" s="12" t="n">
        <f aca="false">AVERAGEIFS('Raw (GPT-5.1)'!$D:$D,'Raw (GPT-5.1)'!$A:$A,"unfiltered",'Raw (GPT-5.1)'!$B:$B,B189,'Raw (GPT-5.1)'!$C:$C,C189)</f>
        <v>33.75</v>
      </c>
      <c r="F189" s="12" t="n">
        <f aca="false">IF(D189&gt;E189,1,0)</f>
        <v>1</v>
      </c>
    </row>
    <row r="190" customFormat="false" ht="15" hidden="false" customHeight="false" outlineLevel="0" collapsed="false">
      <c r="A190" s="12" t="s">
        <v>27</v>
      </c>
      <c r="B190" s="12" t="n">
        <v>0.5</v>
      </c>
      <c r="C190" s="12" t="s">
        <v>41</v>
      </c>
      <c r="D190" s="12" t="n">
        <f aca="false">AVERAGEIFS('Raw (GPT-5.1)'!$D:$D,'Raw (GPT-5.1)'!$A:$A,A190,'Raw (GPT-5.1)'!$B:$B,B190,'Raw (GPT-5.1)'!$C:$C,C190)</f>
        <v>35.11</v>
      </c>
      <c r="E190" s="12" t="n">
        <f aca="false">AVERAGEIFS('Raw (GPT-5.1)'!$D:$D,'Raw (GPT-5.1)'!$A:$A,"unfiltered",'Raw (GPT-5.1)'!$B:$B,B190,'Raw (GPT-5.1)'!$C:$C,C190)</f>
        <v>70.86</v>
      </c>
      <c r="F190" s="12" t="n">
        <f aca="false">IF(D190&gt;E190,1,0)</f>
        <v>0</v>
      </c>
    </row>
    <row r="191" customFormat="false" ht="15" hidden="false" customHeight="false" outlineLevel="0" collapsed="false">
      <c r="A191" s="12" t="s">
        <v>24</v>
      </c>
      <c r="B191" s="12" t="n">
        <v>0.3</v>
      </c>
      <c r="C191" s="12" t="s">
        <v>33</v>
      </c>
      <c r="D191" s="12" t="n">
        <f aca="false">AVERAGEIFS('Raw (GPT-5.1)'!$D:$D,'Raw (GPT-5.1)'!$A:$A,A191,'Raw (GPT-5.1)'!$B:$B,B191,'Raw (GPT-5.1)'!$C:$C,C191)</f>
        <v>34.1733333333333</v>
      </c>
      <c r="E191" s="12" t="n">
        <f aca="false">AVERAGEIFS('Raw (GPT-5.1)'!$D:$D,'Raw (GPT-5.1)'!$A:$A,"unfiltered",'Raw (GPT-5.1)'!$B:$B,B191,'Raw (GPT-5.1)'!$C:$C,C191)</f>
        <v>35.4</v>
      </c>
      <c r="F191" s="12" t="n">
        <f aca="false">IF(D191&gt;E191,1,0)</f>
        <v>0</v>
      </c>
    </row>
    <row r="192" customFormat="false" ht="15" hidden="false" customHeight="false" outlineLevel="0" collapsed="false">
      <c r="A192" s="12" t="s">
        <v>24</v>
      </c>
      <c r="B192" s="12" t="n">
        <v>0.3</v>
      </c>
      <c r="C192" s="12" t="s">
        <v>34</v>
      </c>
      <c r="D192" s="12" t="n">
        <f aca="false">AVERAGEIFS('Raw (GPT-5.1)'!$D:$D,'Raw (GPT-5.1)'!$A:$A,A192,'Raw (GPT-5.1)'!$B:$B,B192,'Raw (GPT-5.1)'!$C:$C,C192)</f>
        <v>40.65</v>
      </c>
      <c r="E192" s="12" t="n">
        <f aca="false">AVERAGEIFS('Raw (GPT-5.1)'!$D:$D,'Raw (GPT-5.1)'!$A:$A,"unfiltered",'Raw (GPT-5.1)'!$B:$B,B192,'Raw (GPT-5.1)'!$C:$C,C192)</f>
        <v>39.4</v>
      </c>
      <c r="F192" s="12" t="n">
        <f aca="false">IF(D192&gt;E192,1,0)</f>
        <v>1</v>
      </c>
    </row>
    <row r="193" customFormat="false" ht="15" hidden="false" customHeight="false" outlineLevel="0" collapsed="false">
      <c r="A193" s="12" t="s">
        <v>24</v>
      </c>
      <c r="B193" s="12" t="n">
        <v>0.3</v>
      </c>
      <c r="C193" s="12" t="s">
        <v>35</v>
      </c>
      <c r="D193" s="12" t="n">
        <f aca="false">AVERAGEIFS('Raw (GPT-5.1)'!$D:$D,'Raw (GPT-5.1)'!$A:$A,A193,'Raw (GPT-5.1)'!$B:$B,B193,'Raw (GPT-5.1)'!$C:$C,C193)</f>
        <v>38.6566666666667</v>
      </c>
      <c r="E193" s="12" t="n">
        <f aca="false">AVERAGEIFS('Raw (GPT-5.1)'!$D:$D,'Raw (GPT-5.1)'!$A:$A,"unfiltered",'Raw (GPT-5.1)'!$B:$B,B193,'Raw (GPT-5.1)'!$C:$C,C193)</f>
        <v>32.24</v>
      </c>
      <c r="F193" s="12" t="n">
        <f aca="false">IF(D193&gt;E193,1,0)</f>
        <v>1</v>
      </c>
    </row>
    <row r="194" customFormat="false" ht="15" hidden="false" customHeight="false" outlineLevel="0" collapsed="false">
      <c r="A194" s="12" t="s">
        <v>24</v>
      </c>
      <c r="B194" s="12" t="n">
        <v>0.3</v>
      </c>
      <c r="C194" s="12" t="s">
        <v>36</v>
      </c>
      <c r="D194" s="12" t="n">
        <f aca="false">AVERAGEIFS('Raw (GPT-5.1)'!$D:$D,'Raw (GPT-5.1)'!$A:$A,A194,'Raw (GPT-5.1)'!$B:$B,B194,'Raw (GPT-5.1)'!$C:$C,C194)</f>
        <v>35.81</v>
      </c>
      <c r="E194" s="12" t="n">
        <f aca="false">AVERAGEIFS('Raw (GPT-5.1)'!$D:$D,'Raw (GPT-5.1)'!$A:$A,"unfiltered",'Raw (GPT-5.1)'!$B:$B,B194,'Raw (GPT-5.1)'!$C:$C,C194)</f>
        <v>34.79</v>
      </c>
      <c r="F194" s="12" t="n">
        <f aca="false">IF(D194&gt;E194,1,0)</f>
        <v>1</v>
      </c>
    </row>
    <row r="195" customFormat="false" ht="15" hidden="false" customHeight="false" outlineLevel="0" collapsed="false">
      <c r="A195" s="12" t="s">
        <v>24</v>
      </c>
      <c r="B195" s="12" t="n">
        <v>0.3</v>
      </c>
      <c r="C195" s="12" t="s">
        <v>37</v>
      </c>
      <c r="D195" s="12" t="n">
        <f aca="false">AVERAGEIFS('Raw (GPT-5.1)'!$D:$D,'Raw (GPT-5.1)'!$A:$A,A195,'Raw (GPT-5.1)'!$B:$B,B195,'Raw (GPT-5.1)'!$C:$C,C195)</f>
        <v>37.4633333333333</v>
      </c>
      <c r="E195" s="12" t="n">
        <f aca="false">AVERAGEIFS('Raw (GPT-5.1)'!$D:$D,'Raw (GPT-5.1)'!$A:$A,"unfiltered",'Raw (GPT-5.1)'!$B:$B,B195,'Raw (GPT-5.1)'!$C:$C,C195)</f>
        <v>40.76</v>
      </c>
      <c r="F195" s="12" t="n">
        <f aca="false">IF(D195&gt;E195,1,0)</f>
        <v>0</v>
      </c>
    </row>
    <row r="196" customFormat="false" ht="15" hidden="false" customHeight="false" outlineLevel="0" collapsed="false">
      <c r="A196" s="12" t="s">
        <v>24</v>
      </c>
      <c r="B196" s="12" t="n">
        <v>0.3</v>
      </c>
      <c r="C196" s="12" t="s">
        <v>38</v>
      </c>
      <c r="D196" s="12" t="n">
        <f aca="false">AVERAGEIFS('Raw (GPT-5.1)'!$D:$D,'Raw (GPT-5.1)'!$A:$A,A196,'Raw (GPT-5.1)'!$B:$B,B196,'Raw (GPT-5.1)'!$C:$C,C196)</f>
        <v>41.9766666666667</v>
      </c>
      <c r="E196" s="12" t="n">
        <f aca="false">AVERAGEIFS('Raw (GPT-5.1)'!$D:$D,'Raw (GPT-5.1)'!$A:$A,"unfiltered",'Raw (GPT-5.1)'!$B:$B,B196,'Raw (GPT-5.1)'!$C:$C,C196)</f>
        <v>60.11</v>
      </c>
      <c r="F196" s="12" t="n">
        <f aca="false">IF(D196&gt;E196,1,0)</f>
        <v>0</v>
      </c>
    </row>
    <row r="197" customFormat="false" ht="15" hidden="false" customHeight="false" outlineLevel="0" collapsed="false">
      <c r="A197" s="12" t="s">
        <v>24</v>
      </c>
      <c r="B197" s="12" t="n">
        <v>0.3</v>
      </c>
      <c r="C197" s="12" t="s">
        <v>39</v>
      </c>
      <c r="D197" s="12" t="n">
        <f aca="false">AVERAGEIFS('Raw (GPT-5.1)'!$D:$D,'Raw (GPT-5.1)'!$A:$A,A197,'Raw (GPT-5.1)'!$B:$B,B197,'Raw (GPT-5.1)'!$C:$C,C197)</f>
        <v>41.9166666666667</v>
      </c>
      <c r="E197" s="12" t="n">
        <f aca="false">AVERAGEIFS('Raw (GPT-5.1)'!$D:$D,'Raw (GPT-5.1)'!$A:$A,"unfiltered",'Raw (GPT-5.1)'!$B:$B,B197,'Raw (GPT-5.1)'!$C:$C,C197)</f>
        <v>44.77</v>
      </c>
      <c r="F197" s="12" t="n">
        <f aca="false">IF(D197&gt;E197,1,0)</f>
        <v>0</v>
      </c>
    </row>
    <row r="198" customFormat="false" ht="15" hidden="false" customHeight="false" outlineLevel="0" collapsed="false">
      <c r="A198" s="12" t="s">
        <v>24</v>
      </c>
      <c r="B198" s="12" t="n">
        <v>0.3</v>
      </c>
      <c r="C198" s="12" t="s">
        <v>40</v>
      </c>
      <c r="D198" s="12" t="n">
        <f aca="false">AVERAGEIFS('Raw (GPT-5.1)'!$D:$D,'Raw (GPT-5.1)'!$A:$A,A198,'Raw (GPT-5.1)'!$B:$B,B198,'Raw (GPT-5.1)'!$C:$C,C198)</f>
        <v>67.71</v>
      </c>
      <c r="E198" s="12" t="n">
        <f aca="false">AVERAGEIFS('Raw (GPT-5.1)'!$D:$D,'Raw (GPT-5.1)'!$A:$A,"unfiltered",'Raw (GPT-5.1)'!$B:$B,B198,'Raw (GPT-5.1)'!$C:$C,C198)</f>
        <v>63.17</v>
      </c>
      <c r="F198" s="12" t="n">
        <f aca="false">IF(D198&gt;E198,1,0)</f>
        <v>1</v>
      </c>
    </row>
    <row r="199" customFormat="false" ht="15" hidden="false" customHeight="false" outlineLevel="0" collapsed="false">
      <c r="A199" s="12" t="s">
        <v>24</v>
      </c>
      <c r="B199" s="12" t="n">
        <v>0.3</v>
      </c>
      <c r="C199" s="12" t="s">
        <v>41</v>
      </c>
      <c r="D199" s="12" t="n">
        <f aca="false">AVERAGEIFS('Raw (GPT-5.1)'!$D:$D,'Raw (GPT-5.1)'!$A:$A,A199,'Raw (GPT-5.1)'!$B:$B,B199,'Raw (GPT-5.1)'!$C:$C,C199)</f>
        <v>52.345</v>
      </c>
      <c r="E199" s="12" t="n">
        <f aca="false">AVERAGEIFS('Raw (GPT-5.1)'!$D:$D,'Raw (GPT-5.1)'!$A:$A,"unfiltered",'Raw (GPT-5.1)'!$B:$B,B199,'Raw (GPT-5.1)'!$C:$C,C199)</f>
        <v>57.9</v>
      </c>
      <c r="F199" s="12" t="n">
        <f aca="false">IF(D199&gt;E199,1,0)</f>
        <v>0</v>
      </c>
    </row>
    <row r="200" customFormat="false" ht="15" hidden="false" customHeight="false" outlineLevel="0" collapsed="false">
      <c r="A200" s="12" t="s">
        <v>24</v>
      </c>
      <c r="B200" s="12" t="n">
        <v>0.4</v>
      </c>
      <c r="C200" s="12" t="s">
        <v>33</v>
      </c>
      <c r="D200" s="12" t="n">
        <f aca="false">AVERAGEIFS('Raw (GPT-5.1)'!$D:$D,'Raw (GPT-5.1)'!$A:$A,A200,'Raw (GPT-5.1)'!$B:$B,B200,'Raw (GPT-5.1)'!$C:$C,C200)</f>
        <v>34.5433333333333</v>
      </c>
      <c r="E200" s="12" t="n">
        <f aca="false">AVERAGEIFS('Raw (GPT-5.1)'!$D:$D,'Raw (GPT-5.1)'!$A:$A,"unfiltered",'Raw (GPT-5.1)'!$B:$B,B200,'Raw (GPT-5.1)'!$C:$C,C200)</f>
        <v>36.69</v>
      </c>
      <c r="F200" s="12" t="n">
        <f aca="false">IF(D200&gt;E200,1,0)</f>
        <v>0</v>
      </c>
    </row>
    <row r="201" customFormat="false" ht="15" hidden="false" customHeight="false" outlineLevel="0" collapsed="false">
      <c r="A201" s="12" t="s">
        <v>24</v>
      </c>
      <c r="B201" s="12" t="n">
        <v>0.4</v>
      </c>
      <c r="C201" s="12" t="s">
        <v>34</v>
      </c>
      <c r="D201" s="12" t="n">
        <f aca="false">AVERAGEIFS('Raw (GPT-5.1)'!$D:$D,'Raw (GPT-5.1)'!$A:$A,A201,'Raw (GPT-5.1)'!$B:$B,B201,'Raw (GPT-5.1)'!$C:$C,C201)</f>
        <v>40.97</v>
      </c>
      <c r="E201" s="12" t="n">
        <f aca="false">AVERAGEIFS('Raw (GPT-5.1)'!$D:$D,'Raw (GPT-5.1)'!$A:$A,"unfiltered",'Raw (GPT-5.1)'!$B:$B,B201,'Raw (GPT-5.1)'!$C:$C,C201)</f>
        <v>43.96</v>
      </c>
      <c r="F201" s="12" t="n">
        <f aca="false">IF(D201&gt;E201,1,0)</f>
        <v>0</v>
      </c>
    </row>
    <row r="202" customFormat="false" ht="15" hidden="false" customHeight="false" outlineLevel="0" collapsed="false">
      <c r="A202" s="12" t="s">
        <v>24</v>
      </c>
      <c r="B202" s="12" t="n">
        <v>0.4</v>
      </c>
      <c r="C202" s="12" t="s">
        <v>35</v>
      </c>
      <c r="D202" s="12" t="n">
        <f aca="false">AVERAGEIFS('Raw (GPT-5.1)'!$D:$D,'Raw (GPT-5.1)'!$A:$A,A202,'Raw (GPT-5.1)'!$B:$B,B202,'Raw (GPT-5.1)'!$C:$C,C202)</f>
        <v>42.6333333333333</v>
      </c>
      <c r="E202" s="12" t="n">
        <f aca="false">AVERAGEIFS('Raw (GPT-5.1)'!$D:$D,'Raw (GPT-5.1)'!$A:$A,"unfiltered",'Raw (GPT-5.1)'!$B:$B,B202,'Raw (GPT-5.1)'!$C:$C,C202)</f>
        <v>38.65</v>
      </c>
      <c r="F202" s="12" t="n">
        <f aca="false">IF(D202&gt;E202,1,0)</f>
        <v>1</v>
      </c>
    </row>
    <row r="203" customFormat="false" ht="15" hidden="false" customHeight="false" outlineLevel="0" collapsed="false">
      <c r="A203" s="12" t="s">
        <v>24</v>
      </c>
      <c r="B203" s="12" t="n">
        <v>0.4</v>
      </c>
      <c r="C203" s="12" t="s">
        <v>36</v>
      </c>
      <c r="D203" s="12" t="n">
        <f aca="false">AVERAGEIFS('Raw (GPT-5.1)'!$D:$D,'Raw (GPT-5.1)'!$A:$A,A203,'Raw (GPT-5.1)'!$B:$B,B203,'Raw (GPT-5.1)'!$C:$C,C203)</f>
        <v>35.81</v>
      </c>
      <c r="E203" s="12" t="n">
        <f aca="false">AVERAGEIFS('Raw (GPT-5.1)'!$D:$D,'Raw (GPT-5.1)'!$A:$A,"unfiltered",'Raw (GPT-5.1)'!$B:$B,B203,'Raw (GPT-5.1)'!$C:$C,C203)</f>
        <v>31.19</v>
      </c>
      <c r="F203" s="12" t="n">
        <f aca="false">IF(D203&gt;E203,1,0)</f>
        <v>1</v>
      </c>
    </row>
    <row r="204" customFormat="false" ht="15" hidden="false" customHeight="false" outlineLevel="0" collapsed="false">
      <c r="A204" s="12" t="s">
        <v>24</v>
      </c>
      <c r="B204" s="12" t="n">
        <v>0.4</v>
      </c>
      <c r="C204" s="12" t="s">
        <v>37</v>
      </c>
      <c r="D204" s="12" t="n">
        <f aca="false">AVERAGEIFS('Raw (GPT-5.1)'!$D:$D,'Raw (GPT-5.1)'!$A:$A,A204,'Raw (GPT-5.1)'!$B:$B,B204,'Raw (GPT-5.1)'!$C:$C,C204)</f>
        <v>36.26</v>
      </c>
      <c r="E204" s="12" t="n">
        <f aca="false">AVERAGEIFS('Raw (GPT-5.1)'!$D:$D,'Raw (GPT-5.1)'!$A:$A,"unfiltered",'Raw (GPT-5.1)'!$B:$B,B204,'Raw (GPT-5.1)'!$C:$C,C204)</f>
        <v>28.79</v>
      </c>
      <c r="F204" s="12" t="n">
        <f aca="false">IF(D204&gt;E204,1,0)</f>
        <v>1</v>
      </c>
    </row>
    <row r="205" customFormat="false" ht="15" hidden="false" customHeight="false" outlineLevel="0" collapsed="false">
      <c r="A205" s="12" t="s">
        <v>24</v>
      </c>
      <c r="B205" s="12" t="n">
        <v>0.4</v>
      </c>
      <c r="C205" s="12" t="s">
        <v>38</v>
      </c>
      <c r="D205" s="12" t="n">
        <f aca="false">AVERAGEIFS('Raw (GPT-5.1)'!$D:$D,'Raw (GPT-5.1)'!$A:$A,A205,'Raw (GPT-5.1)'!$B:$B,B205,'Raw (GPT-5.1)'!$C:$C,C205)</f>
        <v>43.4033333333333</v>
      </c>
      <c r="E205" s="12" t="n">
        <f aca="false">AVERAGEIFS('Raw (GPT-5.1)'!$D:$D,'Raw (GPT-5.1)'!$A:$A,"unfiltered",'Raw (GPT-5.1)'!$B:$B,B205,'Raw (GPT-5.1)'!$C:$C,C205)</f>
        <v>47.46</v>
      </c>
      <c r="F205" s="12" t="n">
        <f aca="false">IF(D205&gt;E205,1,0)</f>
        <v>0</v>
      </c>
    </row>
    <row r="206" customFormat="false" ht="15" hidden="false" customHeight="false" outlineLevel="0" collapsed="false">
      <c r="A206" s="12" t="s">
        <v>24</v>
      </c>
      <c r="B206" s="12" t="n">
        <v>0.4</v>
      </c>
      <c r="C206" s="12" t="s">
        <v>39</v>
      </c>
      <c r="D206" s="12" t="n">
        <f aca="false">AVERAGEIFS('Raw (GPT-5.1)'!$D:$D,'Raw (GPT-5.1)'!$A:$A,A206,'Raw (GPT-5.1)'!$B:$B,B206,'Raw (GPT-5.1)'!$C:$C,C206)</f>
        <v>69.33</v>
      </c>
      <c r="E206" s="12" t="n">
        <f aca="false">AVERAGEIFS('Raw (GPT-5.1)'!$D:$D,'Raw (GPT-5.1)'!$A:$A,"unfiltered",'Raw (GPT-5.1)'!$B:$B,B206,'Raw (GPT-5.1)'!$C:$C,C206)</f>
        <v>52.45</v>
      </c>
      <c r="F206" s="12" t="n">
        <f aca="false">IF(D206&gt;E206,1,0)</f>
        <v>1</v>
      </c>
    </row>
    <row r="207" customFormat="false" ht="15" hidden="false" customHeight="false" outlineLevel="0" collapsed="false">
      <c r="A207" s="12" t="s">
        <v>24</v>
      </c>
      <c r="B207" s="12" t="n">
        <v>0.4</v>
      </c>
      <c r="C207" s="12" t="s">
        <v>40</v>
      </c>
      <c r="D207" s="12" t="n">
        <f aca="false">AVERAGEIFS('Raw (GPT-5.1)'!$D:$D,'Raw (GPT-5.1)'!$A:$A,A207,'Raw (GPT-5.1)'!$B:$B,B207,'Raw (GPT-5.1)'!$C:$C,C207)</f>
        <v>49.93</v>
      </c>
      <c r="E207" s="12" t="n">
        <f aca="false">AVERAGEIFS('Raw (GPT-5.1)'!$D:$D,'Raw (GPT-5.1)'!$A:$A,"unfiltered",'Raw (GPT-5.1)'!$B:$B,B207,'Raw (GPT-5.1)'!$C:$C,C207)</f>
        <v>72.88</v>
      </c>
      <c r="F207" s="12" t="n">
        <f aca="false">IF(D207&gt;E207,1,0)</f>
        <v>0</v>
      </c>
    </row>
    <row r="208" customFormat="false" ht="15" hidden="false" customHeight="false" outlineLevel="0" collapsed="false">
      <c r="A208" s="12" t="s">
        <v>24</v>
      </c>
      <c r="B208" s="12" t="n">
        <v>0.4</v>
      </c>
      <c r="C208" s="12" t="s">
        <v>41</v>
      </c>
      <c r="D208" s="12" t="n">
        <f aca="false">AVERAGEIFS('Raw (GPT-5.1)'!$D:$D,'Raw (GPT-5.1)'!$A:$A,A208,'Raw (GPT-5.1)'!$B:$B,B208,'Raw (GPT-5.1)'!$C:$C,C208)</f>
        <v>60.62</v>
      </c>
      <c r="E208" s="12" t="n">
        <f aca="false">AVERAGEIFS('Raw (GPT-5.1)'!$D:$D,'Raw (GPT-5.1)'!$A:$A,"unfiltered",'Raw (GPT-5.1)'!$B:$B,B208,'Raw (GPT-5.1)'!$C:$C,C208)</f>
        <v>66.14</v>
      </c>
      <c r="F208" s="12" t="n">
        <f aca="false">IF(D208&gt;E208,1,0)</f>
        <v>0</v>
      </c>
    </row>
    <row r="209" customFormat="false" ht="15" hidden="false" customHeight="false" outlineLevel="0" collapsed="false">
      <c r="A209" s="12" t="s">
        <v>24</v>
      </c>
      <c r="B209" s="12" t="n">
        <v>0.5</v>
      </c>
      <c r="C209" s="12" t="s">
        <v>33</v>
      </c>
      <c r="D209" s="12" t="n">
        <f aca="false">AVERAGEIFS('Raw (GPT-5.1)'!$D:$D,'Raw (GPT-5.1)'!$A:$A,A209,'Raw (GPT-5.1)'!$B:$B,B209,'Raw (GPT-5.1)'!$C:$C,C209)</f>
        <v>36.6133333333333</v>
      </c>
      <c r="E209" s="12" t="n">
        <f aca="false">AVERAGEIFS('Raw (GPT-5.1)'!$D:$D,'Raw (GPT-5.1)'!$A:$A,"unfiltered",'Raw (GPT-5.1)'!$B:$B,B209,'Raw (GPT-5.1)'!$C:$C,C209)</f>
        <v>40.77</v>
      </c>
      <c r="F209" s="12" t="n">
        <f aca="false">IF(D209&gt;E209,1,0)</f>
        <v>0</v>
      </c>
    </row>
    <row r="210" customFormat="false" ht="15" hidden="false" customHeight="false" outlineLevel="0" collapsed="false">
      <c r="A210" s="12" t="s">
        <v>24</v>
      </c>
      <c r="B210" s="12" t="n">
        <v>0.5</v>
      </c>
      <c r="C210" s="12" t="s">
        <v>34</v>
      </c>
      <c r="D210" s="12" t="n">
        <f aca="false">AVERAGEIFS('Raw (GPT-5.1)'!$D:$D,'Raw (GPT-5.1)'!$A:$A,A210,'Raw (GPT-5.1)'!$B:$B,B210,'Raw (GPT-5.1)'!$C:$C,C210)</f>
        <v>42.99</v>
      </c>
      <c r="E210" s="12" t="n">
        <f aca="false">AVERAGEIFS('Raw (GPT-5.1)'!$D:$D,'Raw (GPT-5.1)'!$A:$A,"unfiltered",'Raw (GPT-5.1)'!$B:$B,B210,'Raw (GPT-5.1)'!$C:$C,C210)</f>
        <v>41.89</v>
      </c>
      <c r="F210" s="12" t="n">
        <f aca="false">IF(D210&gt;E210,1,0)</f>
        <v>1</v>
      </c>
    </row>
    <row r="211" customFormat="false" ht="15" hidden="false" customHeight="false" outlineLevel="0" collapsed="false">
      <c r="A211" s="12" t="s">
        <v>24</v>
      </c>
      <c r="B211" s="12" t="n">
        <v>0.5</v>
      </c>
      <c r="C211" s="12" t="s">
        <v>35</v>
      </c>
      <c r="D211" s="12" t="n">
        <f aca="false">AVERAGEIFS('Raw (GPT-5.1)'!$D:$D,'Raw (GPT-5.1)'!$A:$A,A211,'Raw (GPT-5.1)'!$B:$B,B211,'Raw (GPT-5.1)'!$C:$C,C211)</f>
        <v>39.3833333333333</v>
      </c>
      <c r="E211" s="12" t="n">
        <f aca="false">AVERAGEIFS('Raw (GPT-5.1)'!$D:$D,'Raw (GPT-5.1)'!$A:$A,"unfiltered",'Raw (GPT-5.1)'!$B:$B,B211,'Raw (GPT-5.1)'!$C:$C,C211)</f>
        <v>41.32</v>
      </c>
      <c r="F211" s="12" t="n">
        <f aca="false">IF(D211&gt;E211,1,0)</f>
        <v>0</v>
      </c>
    </row>
    <row r="212" customFormat="false" ht="15" hidden="false" customHeight="false" outlineLevel="0" collapsed="false">
      <c r="A212" s="12" t="s">
        <v>24</v>
      </c>
      <c r="B212" s="12" t="n">
        <v>0.5</v>
      </c>
      <c r="C212" s="12" t="s">
        <v>36</v>
      </c>
      <c r="D212" s="12" t="n">
        <f aca="false">AVERAGEIFS('Raw (GPT-5.1)'!$D:$D,'Raw (GPT-5.1)'!$A:$A,A212,'Raw (GPT-5.1)'!$B:$B,B212,'Raw (GPT-5.1)'!$C:$C,C212)</f>
        <v>35.8833333333333</v>
      </c>
      <c r="E212" s="12" t="n">
        <f aca="false">AVERAGEIFS('Raw (GPT-5.1)'!$D:$D,'Raw (GPT-5.1)'!$A:$A,"unfiltered",'Raw (GPT-5.1)'!$B:$B,B212,'Raw (GPT-5.1)'!$C:$C,C212)</f>
        <v>35.01</v>
      </c>
      <c r="F212" s="12" t="n">
        <f aca="false">IF(D212&gt;E212,1,0)</f>
        <v>1</v>
      </c>
    </row>
    <row r="213" customFormat="false" ht="15" hidden="false" customHeight="false" outlineLevel="0" collapsed="false">
      <c r="A213" s="12" t="s">
        <v>24</v>
      </c>
      <c r="B213" s="12" t="n">
        <v>0.5</v>
      </c>
      <c r="C213" s="12" t="s">
        <v>37</v>
      </c>
      <c r="D213" s="12" t="n">
        <f aca="false">AVERAGEIFS('Raw (GPT-5.1)'!$D:$D,'Raw (GPT-5.1)'!$A:$A,A213,'Raw (GPT-5.1)'!$B:$B,B213,'Raw (GPT-5.1)'!$C:$C,C213)</f>
        <v>36.1033333333333</v>
      </c>
      <c r="E213" s="12" t="n">
        <f aca="false">AVERAGEIFS('Raw (GPT-5.1)'!$D:$D,'Raw (GPT-5.1)'!$A:$A,"unfiltered",'Raw (GPT-5.1)'!$B:$B,B213,'Raw (GPT-5.1)'!$C:$C,C213)</f>
        <v>42.02</v>
      </c>
      <c r="F213" s="12" t="n">
        <f aca="false">IF(D213&gt;E213,1,0)</f>
        <v>0</v>
      </c>
    </row>
    <row r="214" customFormat="false" ht="15" hidden="false" customHeight="false" outlineLevel="0" collapsed="false">
      <c r="A214" s="12" t="s">
        <v>24</v>
      </c>
      <c r="B214" s="12" t="n">
        <v>0.5</v>
      </c>
      <c r="C214" s="12" t="s">
        <v>38</v>
      </c>
      <c r="D214" s="12" t="n">
        <f aca="false">AVERAGEIFS('Raw (GPT-5.1)'!$D:$D,'Raw (GPT-5.1)'!$A:$A,A214,'Raw (GPT-5.1)'!$B:$B,B214,'Raw (GPT-5.1)'!$C:$C,C214)</f>
        <v>44.26</v>
      </c>
      <c r="E214" s="12" t="n">
        <f aca="false">AVERAGEIFS('Raw (GPT-5.1)'!$D:$D,'Raw (GPT-5.1)'!$A:$A,"unfiltered",'Raw (GPT-5.1)'!$B:$B,B214,'Raw (GPT-5.1)'!$C:$C,C214)</f>
        <v>48.7</v>
      </c>
      <c r="F214" s="12" t="n">
        <f aca="false">IF(D214&gt;E214,1,0)</f>
        <v>0</v>
      </c>
    </row>
    <row r="215" customFormat="false" ht="15" hidden="false" customHeight="false" outlineLevel="0" collapsed="false">
      <c r="A215" s="12" t="s">
        <v>24</v>
      </c>
      <c r="B215" s="12" t="n">
        <v>0.5</v>
      </c>
      <c r="C215" s="12" t="s">
        <v>39</v>
      </c>
      <c r="D215" s="12" t="n">
        <f aca="false">AVERAGEIFS('Raw (GPT-5.1)'!$D:$D,'Raw (GPT-5.1)'!$A:$A,A215,'Raw (GPT-5.1)'!$B:$B,B215,'Raw (GPT-5.1)'!$C:$C,C215)</f>
        <v>36.135</v>
      </c>
      <c r="E215" s="12" t="n">
        <f aca="false">AVERAGEIFS('Raw (GPT-5.1)'!$D:$D,'Raw (GPT-5.1)'!$A:$A,"unfiltered",'Raw (GPT-5.1)'!$B:$B,B215,'Raw (GPT-5.1)'!$C:$C,C215)</f>
        <v>52.39</v>
      </c>
      <c r="F215" s="12" t="n">
        <f aca="false">IF(D215&gt;E215,1,0)</f>
        <v>0</v>
      </c>
    </row>
    <row r="216" customFormat="false" ht="15" hidden="false" customHeight="false" outlineLevel="0" collapsed="false">
      <c r="A216" s="12" t="s">
        <v>24</v>
      </c>
      <c r="B216" s="12" t="n">
        <v>0.5</v>
      </c>
      <c r="C216" s="12" t="s">
        <v>40</v>
      </c>
      <c r="D216" s="12" t="n">
        <f aca="false">AVERAGEIFS('Raw (GPT-5.1)'!$D:$D,'Raw (GPT-5.1)'!$A:$A,A216,'Raw (GPT-5.1)'!$B:$B,B216,'Raw (GPT-5.1)'!$C:$C,C216)</f>
        <v>49.93</v>
      </c>
      <c r="E216" s="12" t="n">
        <f aca="false">AVERAGEIFS('Raw (GPT-5.1)'!$D:$D,'Raw (GPT-5.1)'!$A:$A,"unfiltered",'Raw (GPT-5.1)'!$B:$B,B216,'Raw (GPT-5.1)'!$C:$C,C216)</f>
        <v>33.75</v>
      </c>
      <c r="F216" s="12" t="n">
        <f aca="false">IF(D216&gt;E216,1,0)</f>
        <v>1</v>
      </c>
    </row>
    <row r="217" customFormat="false" ht="15" hidden="false" customHeight="false" outlineLevel="0" collapsed="false">
      <c r="A217" s="12" t="s">
        <v>24</v>
      </c>
      <c r="B217" s="12" t="n">
        <v>0.5</v>
      </c>
      <c r="C217" s="12" t="s">
        <v>41</v>
      </c>
      <c r="D217" s="12" t="n">
        <f aca="false">AVERAGEIFS('Raw (GPT-5.1)'!$D:$D,'Raw (GPT-5.1)'!$A:$A,A217,'Raw (GPT-5.1)'!$B:$B,B217,'Raw (GPT-5.1)'!$C:$C,C217)</f>
        <v>53.09</v>
      </c>
      <c r="E217" s="12" t="n">
        <f aca="false">AVERAGEIFS('Raw (GPT-5.1)'!$D:$D,'Raw (GPT-5.1)'!$A:$A,"unfiltered",'Raw (GPT-5.1)'!$B:$B,B217,'Raw (GPT-5.1)'!$C:$C,C217)</f>
        <v>70.86</v>
      </c>
      <c r="F217" s="12" t="n">
        <f aca="false">IF(D217&gt;E217,1,0)</f>
        <v>0</v>
      </c>
    </row>
    <row r="218" customFormat="false" ht="15" hidden="false" customHeight="false" outlineLevel="0" collapsed="false">
      <c r="A218" s="12" t="s">
        <v>26</v>
      </c>
      <c r="B218" s="12" t="n">
        <v>0.3</v>
      </c>
      <c r="C218" s="12" t="s">
        <v>33</v>
      </c>
      <c r="D218" s="12" t="n">
        <f aca="false">AVERAGEIFS('Raw (GPT-5.1)'!$D:$D,'Raw (GPT-5.1)'!$A:$A,A218,'Raw (GPT-5.1)'!$B:$B,B218,'Raw (GPT-5.1)'!$C:$C,C218)</f>
        <v>36.8966666666667</v>
      </c>
      <c r="E218" s="12" t="n">
        <f aca="false">AVERAGEIFS('Raw (GPT-5.1)'!$D:$D,'Raw (GPT-5.1)'!$A:$A,"unfiltered",'Raw (GPT-5.1)'!$B:$B,B218,'Raw (GPT-5.1)'!$C:$C,C218)</f>
        <v>35.4</v>
      </c>
      <c r="F218" s="12" t="n">
        <f aca="false">IF(D218&gt;E218,1,0)</f>
        <v>1</v>
      </c>
    </row>
    <row r="219" customFormat="false" ht="15" hidden="false" customHeight="false" outlineLevel="0" collapsed="false">
      <c r="A219" s="12" t="s">
        <v>26</v>
      </c>
      <c r="B219" s="12" t="n">
        <v>0.3</v>
      </c>
      <c r="C219" s="12" t="s">
        <v>34</v>
      </c>
      <c r="D219" s="12" t="n">
        <f aca="false">AVERAGEIFS('Raw (GPT-5.1)'!$D:$D,'Raw (GPT-5.1)'!$A:$A,A219,'Raw (GPT-5.1)'!$B:$B,B219,'Raw (GPT-5.1)'!$C:$C,C219)</f>
        <v>43.95</v>
      </c>
      <c r="E219" s="12" t="n">
        <f aca="false">AVERAGEIFS('Raw (GPT-5.1)'!$D:$D,'Raw (GPT-5.1)'!$A:$A,"unfiltered",'Raw (GPT-5.1)'!$B:$B,B219,'Raw (GPT-5.1)'!$C:$C,C219)</f>
        <v>39.4</v>
      </c>
      <c r="F219" s="12" t="n">
        <f aca="false">IF(D219&gt;E219,1,0)</f>
        <v>1</v>
      </c>
    </row>
    <row r="220" customFormat="false" ht="15" hidden="false" customHeight="false" outlineLevel="0" collapsed="false">
      <c r="A220" s="12" t="s">
        <v>26</v>
      </c>
      <c r="B220" s="12" t="n">
        <v>0.3</v>
      </c>
      <c r="C220" s="12" t="s">
        <v>35</v>
      </c>
      <c r="D220" s="12" t="n">
        <f aca="false">AVERAGEIFS('Raw (GPT-5.1)'!$D:$D,'Raw (GPT-5.1)'!$A:$A,A220,'Raw (GPT-5.1)'!$B:$B,B220,'Raw (GPT-5.1)'!$C:$C,C220)</f>
        <v>49.9066666666667</v>
      </c>
      <c r="E220" s="12" t="n">
        <f aca="false">AVERAGEIFS('Raw (GPT-5.1)'!$D:$D,'Raw (GPT-5.1)'!$A:$A,"unfiltered",'Raw (GPT-5.1)'!$B:$B,B220,'Raw (GPT-5.1)'!$C:$C,C220)</f>
        <v>32.24</v>
      </c>
      <c r="F220" s="12" t="n">
        <f aca="false">IF(D220&gt;E220,1,0)</f>
        <v>1</v>
      </c>
    </row>
    <row r="221" customFormat="false" ht="15" hidden="false" customHeight="false" outlineLevel="0" collapsed="false">
      <c r="A221" s="12" t="s">
        <v>26</v>
      </c>
      <c r="B221" s="12" t="n">
        <v>0.3</v>
      </c>
      <c r="C221" s="12" t="s">
        <v>36</v>
      </c>
      <c r="D221" s="12" t="n">
        <f aca="false">AVERAGEIFS('Raw (GPT-5.1)'!$D:$D,'Raw (GPT-5.1)'!$A:$A,A221,'Raw (GPT-5.1)'!$B:$B,B221,'Raw (GPT-5.1)'!$C:$C,C221)</f>
        <v>42.6566666666667</v>
      </c>
      <c r="E221" s="12" t="n">
        <f aca="false">AVERAGEIFS('Raw (GPT-5.1)'!$D:$D,'Raw (GPT-5.1)'!$A:$A,"unfiltered",'Raw (GPT-5.1)'!$B:$B,B221,'Raw (GPT-5.1)'!$C:$C,C221)</f>
        <v>34.79</v>
      </c>
      <c r="F221" s="12" t="n">
        <f aca="false">IF(D221&gt;E221,1,0)</f>
        <v>1</v>
      </c>
    </row>
    <row r="222" customFormat="false" ht="15" hidden="false" customHeight="false" outlineLevel="0" collapsed="false">
      <c r="A222" s="12" t="s">
        <v>26</v>
      </c>
      <c r="B222" s="12" t="n">
        <v>0.3</v>
      </c>
      <c r="C222" s="12" t="s">
        <v>37</v>
      </c>
      <c r="D222" s="12" t="n">
        <f aca="false">AVERAGEIFS('Raw (GPT-5.1)'!$D:$D,'Raw (GPT-5.1)'!$A:$A,A222,'Raw (GPT-5.1)'!$B:$B,B222,'Raw (GPT-5.1)'!$C:$C,C222)</f>
        <v>17.225</v>
      </c>
      <c r="E222" s="12" t="n">
        <f aca="false">AVERAGEIFS('Raw (GPT-5.1)'!$D:$D,'Raw (GPT-5.1)'!$A:$A,"unfiltered",'Raw (GPT-5.1)'!$B:$B,B222,'Raw (GPT-5.1)'!$C:$C,C222)</f>
        <v>40.76</v>
      </c>
      <c r="F222" s="12" t="n">
        <f aca="false">IF(D222&gt;E222,1,0)</f>
        <v>0</v>
      </c>
    </row>
    <row r="223" customFormat="false" ht="15" hidden="false" customHeight="false" outlineLevel="0" collapsed="false">
      <c r="A223" s="12" t="s">
        <v>26</v>
      </c>
      <c r="B223" s="12" t="n">
        <v>0.3</v>
      </c>
      <c r="C223" s="12" t="s">
        <v>38</v>
      </c>
      <c r="D223" s="12" t="n">
        <f aca="false">AVERAGEIFS('Raw (GPT-5.1)'!$D:$D,'Raw (GPT-5.1)'!$A:$A,A223,'Raw (GPT-5.1)'!$B:$B,B223,'Raw (GPT-5.1)'!$C:$C,C223)</f>
        <v>28</v>
      </c>
      <c r="E223" s="12" t="n">
        <f aca="false">AVERAGEIFS('Raw (GPT-5.1)'!$D:$D,'Raw (GPT-5.1)'!$A:$A,"unfiltered",'Raw (GPT-5.1)'!$B:$B,B223,'Raw (GPT-5.1)'!$C:$C,C223)</f>
        <v>60.11</v>
      </c>
      <c r="F223" s="12" t="n">
        <f aca="false">IF(D223&gt;E223,1,0)</f>
        <v>0</v>
      </c>
    </row>
    <row r="224" customFormat="false" ht="15" hidden="false" customHeight="false" outlineLevel="0" collapsed="false">
      <c r="A224" s="12" t="s">
        <v>26</v>
      </c>
      <c r="B224" s="12" t="n">
        <v>0.3</v>
      </c>
      <c r="C224" s="12" t="s">
        <v>39</v>
      </c>
      <c r="D224" s="12" t="n">
        <f aca="false">AVERAGEIFS('Raw (GPT-5.1)'!$D:$D,'Raw (GPT-5.1)'!$A:$A,A224,'Raw (GPT-5.1)'!$B:$B,B224,'Raw (GPT-5.1)'!$C:$C,C224)</f>
        <v>24.635</v>
      </c>
      <c r="E224" s="12" t="n">
        <f aca="false">AVERAGEIFS('Raw (GPT-5.1)'!$D:$D,'Raw (GPT-5.1)'!$A:$A,"unfiltered",'Raw (GPT-5.1)'!$B:$B,B224,'Raw (GPT-5.1)'!$C:$C,C224)</f>
        <v>44.77</v>
      </c>
      <c r="F224" s="12" t="n">
        <f aca="false">IF(D224&gt;E224,1,0)</f>
        <v>0</v>
      </c>
    </row>
    <row r="225" customFormat="false" ht="15" hidden="false" customHeight="false" outlineLevel="0" collapsed="false">
      <c r="A225" s="12" t="s">
        <v>26</v>
      </c>
      <c r="B225" s="12" t="n">
        <v>0.3</v>
      </c>
      <c r="C225" s="12" t="s">
        <v>40</v>
      </c>
      <c r="D225" s="12" t="n">
        <f aca="false">AVERAGEIFS('Raw (GPT-5.1)'!$D:$D,'Raw (GPT-5.1)'!$A:$A,A225,'Raw (GPT-5.1)'!$B:$B,B225,'Raw (GPT-5.1)'!$C:$C,C225)</f>
        <v>51.9266666666667</v>
      </c>
      <c r="E225" s="12" t="n">
        <f aca="false">AVERAGEIFS('Raw (GPT-5.1)'!$D:$D,'Raw (GPT-5.1)'!$A:$A,"unfiltered",'Raw (GPT-5.1)'!$B:$B,B225,'Raw (GPT-5.1)'!$C:$C,C225)</f>
        <v>63.17</v>
      </c>
      <c r="F225" s="12" t="n">
        <f aca="false">IF(D225&gt;E225,1,0)</f>
        <v>0</v>
      </c>
    </row>
    <row r="226" customFormat="false" ht="15" hidden="false" customHeight="false" outlineLevel="0" collapsed="false">
      <c r="A226" s="12" t="s">
        <v>26</v>
      </c>
      <c r="B226" s="12" t="n">
        <v>0.3</v>
      </c>
      <c r="C226" s="12" t="s">
        <v>41</v>
      </c>
      <c r="D226" s="12" t="n">
        <f aca="false">AVERAGEIFS('Raw (GPT-5.1)'!$D:$D,'Raw (GPT-5.1)'!$A:$A,A226,'Raw (GPT-5.1)'!$B:$B,B226,'Raw (GPT-5.1)'!$C:$C,C226)</f>
        <v>59.8066666666667</v>
      </c>
      <c r="E226" s="12" t="n">
        <f aca="false">AVERAGEIFS('Raw (GPT-5.1)'!$D:$D,'Raw (GPT-5.1)'!$A:$A,"unfiltered",'Raw (GPT-5.1)'!$B:$B,B226,'Raw (GPT-5.1)'!$C:$C,C226)</f>
        <v>57.9</v>
      </c>
      <c r="F226" s="12" t="n">
        <f aca="false">IF(D226&gt;E226,1,0)</f>
        <v>1</v>
      </c>
    </row>
    <row r="227" customFormat="false" ht="15" hidden="false" customHeight="false" outlineLevel="0" collapsed="false">
      <c r="A227" s="12" t="s">
        <v>26</v>
      </c>
      <c r="B227" s="12" t="n">
        <v>0.4</v>
      </c>
      <c r="C227" s="12" t="s">
        <v>33</v>
      </c>
      <c r="D227" s="12" t="n">
        <f aca="false">AVERAGEIFS('Raw (GPT-5.1)'!$D:$D,'Raw (GPT-5.1)'!$A:$A,A227,'Raw (GPT-5.1)'!$B:$B,B227,'Raw (GPT-5.1)'!$C:$C,C227)</f>
        <v>27.4233333333333</v>
      </c>
      <c r="E227" s="12" t="n">
        <f aca="false">AVERAGEIFS('Raw (GPT-5.1)'!$D:$D,'Raw (GPT-5.1)'!$A:$A,"unfiltered",'Raw (GPT-5.1)'!$B:$B,B227,'Raw (GPT-5.1)'!$C:$C,C227)</f>
        <v>36.69</v>
      </c>
      <c r="F227" s="12" t="n">
        <f aca="false">IF(D227&gt;E227,1,0)</f>
        <v>0</v>
      </c>
    </row>
    <row r="228" customFormat="false" ht="15" hidden="false" customHeight="false" outlineLevel="0" collapsed="false">
      <c r="A228" s="12" t="s">
        <v>26</v>
      </c>
      <c r="B228" s="12" t="n">
        <v>0.4</v>
      </c>
      <c r="C228" s="12" t="s">
        <v>34</v>
      </c>
      <c r="D228" s="12" t="n">
        <f aca="false">AVERAGEIFS('Raw (GPT-5.1)'!$D:$D,'Raw (GPT-5.1)'!$A:$A,A228,'Raw (GPT-5.1)'!$B:$B,B228,'Raw (GPT-5.1)'!$C:$C,C228)</f>
        <v>40.11</v>
      </c>
      <c r="E228" s="12" t="n">
        <f aca="false">AVERAGEIFS('Raw (GPT-5.1)'!$D:$D,'Raw (GPT-5.1)'!$A:$A,"unfiltered",'Raw (GPT-5.1)'!$B:$B,B228,'Raw (GPT-5.1)'!$C:$C,C228)</f>
        <v>43.96</v>
      </c>
      <c r="F228" s="12" t="n">
        <f aca="false">IF(D228&gt;E228,1,0)</f>
        <v>0</v>
      </c>
    </row>
    <row r="229" customFormat="false" ht="15" hidden="false" customHeight="false" outlineLevel="0" collapsed="false">
      <c r="A229" s="12" t="s">
        <v>26</v>
      </c>
      <c r="B229" s="12" t="n">
        <v>0.4</v>
      </c>
      <c r="C229" s="12" t="s">
        <v>35</v>
      </c>
      <c r="D229" s="12" t="n">
        <f aca="false">AVERAGEIFS('Raw (GPT-5.1)'!$D:$D,'Raw (GPT-5.1)'!$A:$A,A229,'Raw (GPT-5.1)'!$B:$B,B229,'Raw (GPT-5.1)'!$C:$C,C229)</f>
        <v>34.96</v>
      </c>
      <c r="E229" s="12" t="n">
        <f aca="false">AVERAGEIFS('Raw (GPT-5.1)'!$D:$D,'Raw (GPT-5.1)'!$A:$A,"unfiltered",'Raw (GPT-5.1)'!$B:$B,B229,'Raw (GPT-5.1)'!$C:$C,C229)</f>
        <v>38.65</v>
      </c>
      <c r="F229" s="12" t="n">
        <f aca="false">IF(D229&gt;E229,1,0)</f>
        <v>0</v>
      </c>
    </row>
    <row r="230" customFormat="false" ht="15" hidden="false" customHeight="false" outlineLevel="0" collapsed="false">
      <c r="A230" s="12" t="s">
        <v>26</v>
      </c>
      <c r="B230" s="12" t="n">
        <v>0.4</v>
      </c>
      <c r="C230" s="12" t="s">
        <v>36</v>
      </c>
      <c r="D230" s="12" t="n">
        <f aca="false">AVERAGEIFS('Raw (GPT-5.1)'!$D:$D,'Raw (GPT-5.1)'!$A:$A,A230,'Raw (GPT-5.1)'!$B:$B,B230,'Raw (GPT-5.1)'!$C:$C,C230)</f>
        <v>30.88</v>
      </c>
      <c r="E230" s="12" t="n">
        <f aca="false">AVERAGEIFS('Raw (GPT-5.1)'!$D:$D,'Raw (GPT-5.1)'!$A:$A,"unfiltered",'Raw (GPT-5.1)'!$B:$B,B230,'Raw (GPT-5.1)'!$C:$C,C230)</f>
        <v>31.19</v>
      </c>
      <c r="F230" s="12" t="n">
        <f aca="false">IF(D230&gt;E230,1,0)</f>
        <v>0</v>
      </c>
    </row>
    <row r="231" customFormat="false" ht="15" hidden="false" customHeight="false" outlineLevel="0" collapsed="false">
      <c r="A231" s="12" t="s">
        <v>26</v>
      </c>
      <c r="B231" s="12" t="n">
        <v>0.4</v>
      </c>
      <c r="C231" s="12" t="s">
        <v>37</v>
      </c>
      <c r="D231" s="12" t="n">
        <f aca="false">AVERAGEIFS('Raw (GPT-5.1)'!$D:$D,'Raw (GPT-5.1)'!$A:$A,A231,'Raw (GPT-5.1)'!$B:$B,B231,'Raw (GPT-5.1)'!$C:$C,C231)</f>
        <v>25.65</v>
      </c>
      <c r="E231" s="12" t="n">
        <f aca="false">AVERAGEIFS('Raw (GPT-5.1)'!$D:$D,'Raw (GPT-5.1)'!$A:$A,"unfiltered",'Raw (GPT-5.1)'!$B:$B,B231,'Raw (GPT-5.1)'!$C:$C,C231)</f>
        <v>28.79</v>
      </c>
      <c r="F231" s="12" t="n">
        <f aca="false">IF(D231&gt;E231,1,0)</f>
        <v>0</v>
      </c>
    </row>
    <row r="232" customFormat="false" ht="15" hidden="false" customHeight="false" outlineLevel="0" collapsed="false">
      <c r="A232" s="12" t="s">
        <v>26</v>
      </c>
      <c r="B232" s="12" t="n">
        <v>0.4</v>
      </c>
      <c r="C232" s="12" t="s">
        <v>38</v>
      </c>
      <c r="D232" s="12" t="n">
        <f aca="false">AVERAGEIFS('Raw (GPT-5.1)'!$D:$D,'Raw (GPT-5.1)'!$A:$A,A232,'Raw (GPT-5.1)'!$B:$B,B232,'Raw (GPT-5.1)'!$C:$C,C232)</f>
        <v>20.3666666666667</v>
      </c>
      <c r="E232" s="12" t="n">
        <f aca="false">AVERAGEIFS('Raw (GPT-5.1)'!$D:$D,'Raw (GPT-5.1)'!$A:$A,"unfiltered",'Raw (GPT-5.1)'!$B:$B,B232,'Raw (GPT-5.1)'!$C:$C,C232)</f>
        <v>47.46</v>
      </c>
      <c r="F232" s="12" t="n">
        <f aca="false">IF(D232&gt;E232,1,0)</f>
        <v>0</v>
      </c>
    </row>
    <row r="233" customFormat="false" ht="15" hidden="false" customHeight="false" outlineLevel="0" collapsed="false">
      <c r="A233" s="12" t="s">
        <v>26</v>
      </c>
      <c r="B233" s="12" t="n">
        <v>0.4</v>
      </c>
      <c r="C233" s="12" t="s">
        <v>39</v>
      </c>
      <c r="D233" s="12" t="n">
        <f aca="false">AVERAGEIFS('Raw (GPT-5.1)'!$D:$D,'Raw (GPT-5.1)'!$A:$A,A233,'Raw (GPT-5.1)'!$B:$B,B233,'Raw (GPT-5.1)'!$C:$C,C233)</f>
        <v>31.77</v>
      </c>
      <c r="E233" s="12" t="n">
        <f aca="false">AVERAGEIFS('Raw (GPT-5.1)'!$D:$D,'Raw (GPT-5.1)'!$A:$A,"unfiltered",'Raw (GPT-5.1)'!$B:$B,B233,'Raw (GPT-5.1)'!$C:$C,C233)</f>
        <v>52.45</v>
      </c>
      <c r="F233" s="12" t="n">
        <f aca="false">IF(D233&gt;E233,1,0)</f>
        <v>0</v>
      </c>
    </row>
    <row r="234" customFormat="false" ht="15" hidden="false" customHeight="false" outlineLevel="0" collapsed="false">
      <c r="A234" s="12" t="s">
        <v>26</v>
      </c>
      <c r="B234" s="12" t="n">
        <v>0.4</v>
      </c>
      <c r="C234" s="12" t="s">
        <v>40</v>
      </c>
      <c r="D234" s="12" t="n">
        <f aca="false">AVERAGEIFS('Raw (GPT-5.1)'!$D:$D,'Raw (GPT-5.1)'!$A:$A,A234,'Raw (GPT-5.1)'!$B:$B,B234,'Raw (GPT-5.1)'!$C:$C,C234)</f>
        <v>50.12</v>
      </c>
      <c r="E234" s="12" t="n">
        <f aca="false">AVERAGEIFS('Raw (GPT-5.1)'!$D:$D,'Raw (GPT-5.1)'!$A:$A,"unfiltered",'Raw (GPT-5.1)'!$B:$B,B234,'Raw (GPT-5.1)'!$C:$C,C234)</f>
        <v>72.88</v>
      </c>
      <c r="F234" s="12" t="n">
        <f aca="false">IF(D234&gt;E234,1,0)</f>
        <v>0</v>
      </c>
    </row>
    <row r="235" customFormat="false" ht="15" hidden="false" customHeight="false" outlineLevel="0" collapsed="false">
      <c r="A235" s="12" t="s">
        <v>26</v>
      </c>
      <c r="B235" s="12" t="n">
        <v>0.4</v>
      </c>
      <c r="C235" s="12" t="s">
        <v>41</v>
      </c>
      <c r="D235" s="12" t="n">
        <f aca="false">AVERAGEIFS('Raw (GPT-5.1)'!$D:$D,'Raw (GPT-5.1)'!$A:$A,A235,'Raw (GPT-5.1)'!$B:$B,B235,'Raw (GPT-5.1)'!$C:$C,C235)</f>
        <v>95.57</v>
      </c>
      <c r="E235" s="12" t="n">
        <f aca="false">AVERAGEIFS('Raw (GPT-5.1)'!$D:$D,'Raw (GPT-5.1)'!$A:$A,"unfiltered",'Raw (GPT-5.1)'!$B:$B,B235,'Raw (GPT-5.1)'!$C:$C,C235)</f>
        <v>66.14</v>
      </c>
      <c r="F235" s="12" t="n">
        <f aca="false">IF(D235&gt;E235,1,0)</f>
        <v>1</v>
      </c>
    </row>
    <row r="236" customFormat="false" ht="15" hidden="false" customHeight="false" outlineLevel="0" collapsed="false">
      <c r="A236" s="12" t="s">
        <v>26</v>
      </c>
      <c r="B236" s="12" t="n">
        <v>0.5</v>
      </c>
      <c r="C236" s="12" t="s">
        <v>33</v>
      </c>
      <c r="D236" s="12" t="n">
        <f aca="false">AVERAGEIFS('Raw (GPT-5.1)'!$D:$D,'Raw (GPT-5.1)'!$A:$A,A236,'Raw (GPT-5.1)'!$B:$B,B236,'Raw (GPT-5.1)'!$C:$C,C236)</f>
        <v>36.52</v>
      </c>
      <c r="E236" s="12" t="n">
        <f aca="false">AVERAGEIFS('Raw (GPT-5.1)'!$D:$D,'Raw (GPT-5.1)'!$A:$A,"unfiltered",'Raw (GPT-5.1)'!$B:$B,B236,'Raw (GPT-5.1)'!$C:$C,C236)</f>
        <v>40.77</v>
      </c>
      <c r="F236" s="12" t="n">
        <f aca="false">IF(D236&gt;E236,1,0)</f>
        <v>0</v>
      </c>
    </row>
    <row r="237" customFormat="false" ht="15" hidden="false" customHeight="false" outlineLevel="0" collapsed="false">
      <c r="A237" s="12" t="s">
        <v>26</v>
      </c>
      <c r="B237" s="12" t="n">
        <v>0.5</v>
      </c>
      <c r="C237" s="12" t="s">
        <v>34</v>
      </c>
      <c r="D237" s="12" t="n">
        <f aca="false">AVERAGEIFS('Raw (GPT-5.1)'!$D:$D,'Raw (GPT-5.1)'!$A:$A,A237,'Raw (GPT-5.1)'!$B:$B,B237,'Raw (GPT-5.1)'!$C:$C,C237)</f>
        <v>45.32</v>
      </c>
      <c r="E237" s="12" t="n">
        <f aca="false">AVERAGEIFS('Raw (GPT-5.1)'!$D:$D,'Raw (GPT-5.1)'!$A:$A,"unfiltered",'Raw (GPT-5.1)'!$B:$B,B237,'Raw (GPT-5.1)'!$C:$C,C237)</f>
        <v>41.89</v>
      </c>
      <c r="F237" s="12" t="n">
        <f aca="false">IF(D237&gt;E237,1,0)</f>
        <v>1</v>
      </c>
    </row>
    <row r="238" customFormat="false" ht="15" hidden="false" customHeight="false" outlineLevel="0" collapsed="false">
      <c r="A238" s="12" t="s">
        <v>26</v>
      </c>
      <c r="B238" s="12" t="n">
        <v>0.5</v>
      </c>
      <c r="C238" s="12" t="s">
        <v>35</v>
      </c>
      <c r="D238" s="12" t="n">
        <f aca="false">AVERAGEIFS('Raw (GPT-5.1)'!$D:$D,'Raw (GPT-5.1)'!$A:$A,A238,'Raw (GPT-5.1)'!$B:$B,B238,'Raw (GPT-5.1)'!$C:$C,C238)</f>
        <v>34.65</v>
      </c>
      <c r="E238" s="12" t="n">
        <f aca="false">AVERAGEIFS('Raw (GPT-5.1)'!$D:$D,'Raw (GPT-5.1)'!$A:$A,"unfiltered",'Raw (GPT-5.1)'!$B:$B,B238,'Raw (GPT-5.1)'!$C:$C,C238)</f>
        <v>41.32</v>
      </c>
      <c r="F238" s="12" t="n">
        <f aca="false">IF(D238&gt;E238,1,0)</f>
        <v>0</v>
      </c>
    </row>
    <row r="239" customFormat="false" ht="15" hidden="false" customHeight="false" outlineLevel="0" collapsed="false">
      <c r="A239" s="12" t="s">
        <v>26</v>
      </c>
      <c r="B239" s="12" t="n">
        <v>0.5</v>
      </c>
      <c r="C239" s="12" t="s">
        <v>36</v>
      </c>
      <c r="D239" s="12" t="n">
        <f aca="false">AVERAGEIFS('Raw (GPT-5.1)'!$D:$D,'Raw (GPT-5.1)'!$A:$A,A239,'Raw (GPT-5.1)'!$B:$B,B239,'Raw (GPT-5.1)'!$C:$C,C239)</f>
        <v>26.24</v>
      </c>
      <c r="E239" s="12" t="n">
        <f aca="false">AVERAGEIFS('Raw (GPT-5.1)'!$D:$D,'Raw (GPT-5.1)'!$A:$A,"unfiltered",'Raw (GPT-5.1)'!$B:$B,B239,'Raw (GPT-5.1)'!$C:$C,C239)</f>
        <v>35.01</v>
      </c>
      <c r="F239" s="12" t="n">
        <f aca="false">IF(D239&gt;E239,1,0)</f>
        <v>0</v>
      </c>
    </row>
    <row r="240" customFormat="false" ht="15" hidden="false" customHeight="false" outlineLevel="0" collapsed="false">
      <c r="A240" s="12" t="s">
        <v>26</v>
      </c>
      <c r="B240" s="12" t="n">
        <v>0.5</v>
      </c>
      <c r="C240" s="12" t="s">
        <v>37</v>
      </c>
      <c r="D240" s="12" t="n">
        <f aca="false">AVERAGEIFS('Raw (GPT-5.1)'!$D:$D,'Raw (GPT-5.1)'!$A:$A,A240,'Raw (GPT-5.1)'!$B:$B,B240,'Raw (GPT-5.1)'!$C:$C,C240)</f>
        <v>38.09</v>
      </c>
      <c r="E240" s="12" t="n">
        <f aca="false">AVERAGEIFS('Raw (GPT-5.1)'!$D:$D,'Raw (GPT-5.1)'!$A:$A,"unfiltered",'Raw (GPT-5.1)'!$B:$B,B240,'Raw (GPT-5.1)'!$C:$C,C240)</f>
        <v>42.02</v>
      </c>
      <c r="F240" s="12" t="n">
        <f aca="false">IF(D240&gt;E240,1,0)</f>
        <v>0</v>
      </c>
    </row>
    <row r="241" customFormat="false" ht="15" hidden="false" customHeight="false" outlineLevel="0" collapsed="false">
      <c r="A241" s="12" t="s">
        <v>26</v>
      </c>
      <c r="B241" s="12" t="n">
        <v>0.5</v>
      </c>
      <c r="C241" s="12" t="s">
        <v>38</v>
      </c>
      <c r="D241" s="12" t="n">
        <f aca="false">AVERAGEIFS('Raw (GPT-5.1)'!$D:$D,'Raw (GPT-5.1)'!$A:$A,A241,'Raw (GPT-5.1)'!$B:$B,B241,'Raw (GPT-5.1)'!$C:$C,C241)</f>
        <v>17.87</v>
      </c>
      <c r="E241" s="12" t="n">
        <f aca="false">AVERAGEIFS('Raw (GPT-5.1)'!$D:$D,'Raw (GPT-5.1)'!$A:$A,"unfiltered",'Raw (GPT-5.1)'!$B:$B,B241,'Raw (GPT-5.1)'!$C:$C,C241)</f>
        <v>48.7</v>
      </c>
      <c r="F241" s="12" t="n">
        <f aca="false">IF(D241&gt;E241,1,0)</f>
        <v>0</v>
      </c>
    </row>
    <row r="242" customFormat="false" ht="15" hidden="false" customHeight="false" outlineLevel="0" collapsed="false">
      <c r="A242" s="12" t="s">
        <v>26</v>
      </c>
      <c r="B242" s="12" t="n">
        <v>0.5</v>
      </c>
      <c r="C242" s="12" t="s">
        <v>39</v>
      </c>
      <c r="D242" s="12" t="n">
        <f aca="false">AVERAGEIFS('Raw (GPT-5.1)'!$D:$D,'Raw (GPT-5.1)'!$A:$A,A242,'Raw (GPT-5.1)'!$B:$B,B242,'Raw (GPT-5.1)'!$C:$C,C242)</f>
        <v>28.9</v>
      </c>
      <c r="E242" s="12" t="n">
        <f aca="false">AVERAGEIFS('Raw (GPT-5.1)'!$D:$D,'Raw (GPT-5.1)'!$A:$A,"unfiltered",'Raw (GPT-5.1)'!$B:$B,B242,'Raw (GPT-5.1)'!$C:$C,C242)</f>
        <v>52.39</v>
      </c>
      <c r="F242" s="12" t="n">
        <f aca="false">IF(D242&gt;E242,1,0)</f>
        <v>0</v>
      </c>
    </row>
    <row r="243" customFormat="false" ht="15" hidden="false" customHeight="false" outlineLevel="0" collapsed="false">
      <c r="A243" s="12" t="s">
        <v>26</v>
      </c>
      <c r="B243" s="12" t="n">
        <v>0.5</v>
      </c>
      <c r="C243" s="12" t="s">
        <v>40</v>
      </c>
      <c r="D243" s="12" t="n">
        <f aca="false">AVERAGEIFS('Raw (GPT-5.1)'!$D:$D,'Raw (GPT-5.1)'!$A:$A,A243,'Raw (GPT-5.1)'!$B:$B,B243,'Raw (GPT-5.1)'!$C:$C,C243)</f>
        <v>35.88</v>
      </c>
      <c r="E243" s="12" t="n">
        <f aca="false">AVERAGEIFS('Raw (GPT-5.1)'!$D:$D,'Raw (GPT-5.1)'!$A:$A,"unfiltered",'Raw (GPT-5.1)'!$B:$B,B243,'Raw (GPT-5.1)'!$C:$C,C243)</f>
        <v>33.75</v>
      </c>
      <c r="F243" s="12" t="n">
        <f aca="false">IF(D243&gt;E243,1,0)</f>
        <v>1</v>
      </c>
    </row>
    <row r="244" customFormat="false" ht="15" hidden="false" customHeight="false" outlineLevel="0" collapsed="false">
      <c r="A244" s="12" t="s">
        <v>26</v>
      </c>
      <c r="B244" s="12" t="n">
        <v>0.5</v>
      </c>
      <c r="C244" s="12" t="s">
        <v>41</v>
      </c>
      <c r="D244" s="12" t="n">
        <f aca="false">AVERAGEIFS('Raw (GPT-5.1)'!$D:$D,'Raw (GPT-5.1)'!$A:$A,A244,'Raw (GPT-5.1)'!$B:$B,B244,'Raw (GPT-5.1)'!$C:$C,C244)</f>
        <v>52.82</v>
      </c>
      <c r="E244" s="12" t="n">
        <f aca="false">AVERAGEIFS('Raw (GPT-5.1)'!$D:$D,'Raw (GPT-5.1)'!$A:$A,"unfiltered",'Raw (GPT-5.1)'!$B:$B,B244,'Raw (GPT-5.1)'!$C:$C,C244)</f>
        <v>70.86</v>
      </c>
      <c r="F244" s="12" t="n">
        <f aca="false">IF(D244&gt;E244,1,0)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9"/>
  </cols>
  <sheetData>
    <row r="1" customFormat="false" ht="23.8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11</v>
      </c>
      <c r="I1" s="1" t="s">
        <v>15</v>
      </c>
    </row>
    <row r="2" customFormat="false" ht="15" hidden="false" customHeight="false" outlineLevel="0" collapsed="false">
      <c r="A2" s="2" t="s">
        <v>24</v>
      </c>
      <c r="B2" s="4" t="n">
        <f aca="false">Summary!D8</f>
        <v>1.66666666666667</v>
      </c>
      <c r="C2" s="3" t="n">
        <v>5</v>
      </c>
      <c r="D2" s="3" t="n">
        <v>3</v>
      </c>
      <c r="E2" s="5" t="n">
        <f aca="false">Summary!G8</f>
        <v>42.1642253521127</v>
      </c>
      <c r="F2" s="5" t="n">
        <f aca="false">Summary!I8</f>
        <v>40.7407407407407</v>
      </c>
      <c r="G2" s="5" t="n">
        <f aca="false">Summary!H8</f>
        <v>26.2627094350038</v>
      </c>
      <c r="H2" s="5" t="n">
        <f aca="false">Summary!L8</f>
        <v>40.67</v>
      </c>
      <c r="I2" s="3" t="n">
        <f aca="false">Summary!P8</f>
        <v>7</v>
      </c>
    </row>
    <row r="3" customFormat="false" ht="15" hidden="false" customHeight="false" outlineLevel="0" collapsed="false">
      <c r="A3" s="2" t="s">
        <v>16</v>
      </c>
      <c r="B3" s="4" t="n">
        <f aca="false">Summary!D2</f>
        <v>2</v>
      </c>
      <c r="C3" s="3" t="n">
        <v>20</v>
      </c>
      <c r="D3" s="3" t="n">
        <v>10</v>
      </c>
      <c r="E3" s="5" t="n">
        <f aca="false">Summary!G2</f>
        <v>60.5711428571429</v>
      </c>
      <c r="F3" s="5" t="n">
        <f aca="false">Summary!I2</f>
        <v>81.4814814814815</v>
      </c>
      <c r="G3" s="5" t="n">
        <f aca="false">Summary!H2</f>
        <v>30.4773153426367</v>
      </c>
      <c r="H3" s="5" t="n">
        <f aca="false">Summary!L2</f>
        <v>56.955</v>
      </c>
      <c r="I3" s="3" t="n">
        <f aca="false">Summary!P2</f>
        <v>4</v>
      </c>
    </row>
    <row r="4" customFormat="false" ht="15" hidden="false" customHeight="false" outlineLevel="0" collapsed="false">
      <c r="A4" s="2" t="s">
        <v>17</v>
      </c>
      <c r="B4" s="4" t="n">
        <f aca="false">Summary!D3</f>
        <v>2</v>
      </c>
      <c r="C4" s="3" t="n">
        <v>10</v>
      </c>
      <c r="D4" s="3" t="n">
        <v>5</v>
      </c>
      <c r="E4" s="5" t="n">
        <f aca="false">Summary!G3</f>
        <v>56.2177464788732</v>
      </c>
      <c r="F4" s="5" t="n">
        <f aca="false">Summary!I3</f>
        <v>77.7777777777778</v>
      </c>
      <c r="G4" s="5" t="n">
        <f aca="false">Summary!H3</f>
        <v>42.3674823770057</v>
      </c>
      <c r="H4" s="5" t="n">
        <f aca="false">Summary!L3</f>
        <v>52.43</v>
      </c>
      <c r="I4" s="3" t="n">
        <f aca="false">Summary!P3</f>
        <v>3</v>
      </c>
    </row>
    <row r="5" customFormat="false" ht="15" hidden="false" customHeight="false" outlineLevel="0" collapsed="false">
      <c r="A5" s="2" t="s">
        <v>23</v>
      </c>
      <c r="B5" s="4" t="n">
        <f aca="false">Summary!D7</f>
        <v>2</v>
      </c>
      <c r="C5" s="3" t="n">
        <v>30</v>
      </c>
      <c r="D5" s="3" t="n">
        <v>15</v>
      </c>
      <c r="E5" s="5" t="n">
        <f aca="false">Summary!G7</f>
        <v>44.1965079365079</v>
      </c>
      <c r="F5" s="5" t="n">
        <f aca="false">Summary!I7</f>
        <v>40.7407407407407</v>
      </c>
      <c r="G5" s="5" t="n">
        <f aca="false">Summary!H7</f>
        <v>43.1791480794446</v>
      </c>
      <c r="H5" s="5" t="n">
        <f aca="false">Summary!L7</f>
        <v>41.5</v>
      </c>
      <c r="I5" s="3" t="n">
        <f aca="false">Summary!P7</f>
        <v>6</v>
      </c>
    </row>
    <row r="6" customFormat="false" ht="15" hidden="false" customHeight="false" outlineLevel="0" collapsed="false">
      <c r="A6" s="2" t="s">
        <v>25</v>
      </c>
      <c r="B6" s="4" t="n">
        <f aca="false">Summary!D9</f>
        <v>3</v>
      </c>
      <c r="C6" s="3" t="n">
        <v>30</v>
      </c>
      <c r="D6" s="3" t="n">
        <v>10</v>
      </c>
      <c r="E6" s="5" t="n">
        <f aca="false">Summary!G9</f>
        <v>40.1382258064516</v>
      </c>
      <c r="F6" s="5" t="n">
        <f aca="false">Summary!I9</f>
        <v>33.3333333333333</v>
      </c>
      <c r="G6" s="5" t="n">
        <f aca="false">Summary!H9</f>
        <v>43.2939974705139</v>
      </c>
      <c r="H6" s="5" t="n">
        <f aca="false">Summary!L9</f>
        <v>37.69</v>
      </c>
      <c r="I6" s="3" t="n">
        <f aca="false">Summary!P9</f>
        <v>2</v>
      </c>
    </row>
    <row r="7" customFormat="false" ht="15" hidden="false" customHeight="false" outlineLevel="0" collapsed="false">
      <c r="A7" s="2" t="s">
        <v>18</v>
      </c>
      <c r="B7" s="4" t="n">
        <f aca="false">Summary!D4</f>
        <v>3.33333333333333</v>
      </c>
      <c r="C7" s="3" t="n">
        <v>10</v>
      </c>
      <c r="D7" s="3" t="n">
        <v>3</v>
      </c>
      <c r="E7" s="5" t="n">
        <f aca="false">Summary!G4</f>
        <v>54.0501408450704</v>
      </c>
      <c r="F7" s="5" t="n">
        <f aca="false">Summary!I4</f>
        <v>74.0740740740741</v>
      </c>
      <c r="G7" s="5" t="n">
        <f aca="false">Summary!H4</f>
        <v>51.3943695785893</v>
      </c>
      <c r="H7" s="5" t="n">
        <f aca="false">Summary!L4</f>
        <v>42.93</v>
      </c>
      <c r="I7" s="3" t="n">
        <f aca="false">Summary!P4</f>
        <v>8</v>
      </c>
    </row>
    <row r="8" customFormat="false" ht="15" hidden="false" customHeight="false" outlineLevel="0" collapsed="false">
      <c r="A8" s="2" t="s">
        <v>19</v>
      </c>
      <c r="B8" s="4" t="n">
        <f aca="false">Summary!D5</f>
        <v>4</v>
      </c>
      <c r="C8" s="3" t="n">
        <v>20</v>
      </c>
      <c r="D8" s="3" t="n">
        <v>5</v>
      </c>
      <c r="E8" s="5" t="n">
        <f aca="false">Summary!G5</f>
        <v>50.3831506849315</v>
      </c>
      <c r="F8" s="5" t="n">
        <f aca="false">Summary!I5</f>
        <v>74.0740740740741</v>
      </c>
      <c r="G8" s="5" t="n">
        <f aca="false">Summary!H5</f>
        <v>52.5852002385373</v>
      </c>
      <c r="H8" s="5" t="n">
        <f aca="false">Summary!L5</f>
        <v>46.87</v>
      </c>
      <c r="I8" s="3" t="n">
        <f aca="false">Summary!P5</f>
        <v>10</v>
      </c>
    </row>
    <row r="9" customFormat="false" ht="15" hidden="false" customHeight="false" outlineLevel="0" collapsed="false">
      <c r="A9" s="2" t="s">
        <v>27</v>
      </c>
      <c r="B9" s="4" t="n">
        <f aca="false">Summary!D11</f>
        <v>6</v>
      </c>
      <c r="C9" s="3" t="n">
        <v>30</v>
      </c>
      <c r="D9" s="3" t="n">
        <v>5</v>
      </c>
      <c r="E9" s="5" t="n">
        <f aca="false">Summary!G11</f>
        <v>32.3193548387097</v>
      </c>
      <c r="F9" s="5" t="n">
        <f aca="false">Summary!I11</f>
        <v>18.5185185185185</v>
      </c>
      <c r="G9" s="5" t="n">
        <f aca="false">Summary!H11</f>
        <v>43.6476799888317</v>
      </c>
      <c r="H9" s="5" t="n">
        <f aca="false">Summary!L11</f>
        <v>31.72</v>
      </c>
      <c r="I9" s="3" t="n">
        <f aca="false">Summary!P11</f>
        <v>5</v>
      </c>
    </row>
    <row r="10" customFormat="false" ht="15" hidden="false" customHeight="false" outlineLevel="0" collapsed="false">
      <c r="A10" s="6" t="s">
        <v>20</v>
      </c>
      <c r="B10" s="8" t="s">
        <v>21</v>
      </c>
      <c r="C10" s="7" t="s">
        <v>21</v>
      </c>
      <c r="D10" s="7" t="s">
        <v>21</v>
      </c>
      <c r="E10" s="9" t="n">
        <f aca="false">Summary!G6</f>
        <v>45.6837037037037</v>
      </c>
      <c r="F10" s="9" t="n">
        <v>0</v>
      </c>
      <c r="G10" s="9" t="n">
        <f aca="false">Summary!H6</f>
        <v>27.096210517136</v>
      </c>
      <c r="H10" s="9" t="n">
        <f aca="false">Summary!L6</f>
        <v>41.89</v>
      </c>
      <c r="I10" s="7" t="n">
        <f aca="false">Summary!P6</f>
        <v>0</v>
      </c>
    </row>
    <row r="11" customFormat="false" ht="15" hidden="false" customHeight="false" outlineLevel="0" collapsed="false">
      <c r="A11" s="6" t="s">
        <v>26</v>
      </c>
      <c r="B11" s="8" t="s">
        <v>21</v>
      </c>
      <c r="C11" s="7" t="s">
        <v>21</v>
      </c>
      <c r="D11" s="7" t="s">
        <v>21</v>
      </c>
      <c r="E11" s="9" t="n">
        <f aca="false">Summary!G10</f>
        <v>38.8696428571429</v>
      </c>
      <c r="F11" s="9" t="n">
        <f aca="false">Summary!I10</f>
        <v>29.6296296296296</v>
      </c>
      <c r="G11" s="9" t="n">
        <f aca="false">Summary!H10</f>
        <v>45.6344499360218</v>
      </c>
      <c r="H11" s="9" t="n">
        <f aca="false">Summary!L10</f>
        <v>38.525</v>
      </c>
      <c r="I11" s="7" t="n">
        <f aca="false">Summary!P10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9"/>
  </cols>
  <sheetData>
    <row r="1" customFormat="false" ht="23.8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11</v>
      </c>
      <c r="I1" s="1" t="s">
        <v>15</v>
      </c>
    </row>
    <row r="2" customFormat="false" ht="15" hidden="false" customHeight="false" outlineLevel="0" collapsed="false">
      <c r="A2" s="2" t="s">
        <v>24</v>
      </c>
      <c r="B2" s="4" t="n">
        <f aca="false">Summary!D8</f>
        <v>1.66666666666667</v>
      </c>
      <c r="C2" s="3" t="n">
        <v>5</v>
      </c>
      <c r="D2" s="3" t="n">
        <v>3</v>
      </c>
      <c r="E2" s="5" t="n">
        <f aca="false">Summary!G8</f>
        <v>42.1642253521127</v>
      </c>
      <c r="F2" s="5" t="n">
        <f aca="false">Summary!I8</f>
        <v>40.7407407407407</v>
      </c>
      <c r="G2" s="5" t="n">
        <f aca="false">Summary!H8</f>
        <v>26.2627094350038</v>
      </c>
      <c r="H2" s="5" t="n">
        <f aca="false">Summary!L8</f>
        <v>40.67</v>
      </c>
      <c r="I2" s="3" t="n">
        <f aca="false">Summary!P8</f>
        <v>7</v>
      </c>
    </row>
    <row r="3" customFormat="false" ht="15" hidden="false" customHeight="false" outlineLevel="0" collapsed="false">
      <c r="A3" s="2" t="s">
        <v>18</v>
      </c>
      <c r="B3" s="4" t="n">
        <f aca="false">Summary!D4</f>
        <v>3.33333333333333</v>
      </c>
      <c r="C3" s="3" t="n">
        <v>10</v>
      </c>
      <c r="D3" s="3" t="n">
        <v>3</v>
      </c>
      <c r="E3" s="5" t="n">
        <f aca="false">Summary!G4</f>
        <v>54.0501408450704</v>
      </c>
      <c r="F3" s="5" t="n">
        <f aca="false">Summary!I4</f>
        <v>74.0740740740741</v>
      </c>
      <c r="G3" s="5" t="n">
        <f aca="false">Summary!H4</f>
        <v>51.3943695785893</v>
      </c>
      <c r="H3" s="5" t="n">
        <f aca="false">Summary!L4</f>
        <v>42.93</v>
      </c>
      <c r="I3" s="3" t="n">
        <f aca="false">Summary!P4</f>
        <v>8</v>
      </c>
    </row>
    <row r="4" customFormat="false" ht="15" hidden="false" customHeight="false" outlineLevel="0" collapsed="false">
      <c r="A4" s="2" t="s">
        <v>17</v>
      </c>
      <c r="B4" s="4" t="n">
        <f aca="false">Summary!D3</f>
        <v>2</v>
      </c>
      <c r="C4" s="3" t="n">
        <v>10</v>
      </c>
      <c r="D4" s="3" t="n">
        <v>5</v>
      </c>
      <c r="E4" s="5" t="n">
        <f aca="false">Summary!G3</f>
        <v>56.2177464788732</v>
      </c>
      <c r="F4" s="5" t="n">
        <f aca="false">Summary!I3</f>
        <v>77.7777777777778</v>
      </c>
      <c r="G4" s="5" t="n">
        <f aca="false">Summary!H3</f>
        <v>42.3674823770057</v>
      </c>
      <c r="H4" s="5" t="n">
        <f aca="false">Summary!L3</f>
        <v>52.43</v>
      </c>
      <c r="I4" s="3" t="n">
        <f aca="false">Summary!P3</f>
        <v>3</v>
      </c>
    </row>
    <row r="5" customFormat="false" ht="15" hidden="false" customHeight="false" outlineLevel="0" collapsed="false">
      <c r="A5" s="2" t="s">
        <v>19</v>
      </c>
      <c r="B5" s="4" t="n">
        <f aca="false">Summary!D5</f>
        <v>4</v>
      </c>
      <c r="C5" s="3" t="n">
        <v>20</v>
      </c>
      <c r="D5" s="3" t="n">
        <v>5</v>
      </c>
      <c r="E5" s="5" t="n">
        <f aca="false">Summary!G5</f>
        <v>50.3831506849315</v>
      </c>
      <c r="F5" s="5" t="n">
        <f aca="false">Summary!I5</f>
        <v>74.0740740740741</v>
      </c>
      <c r="G5" s="5" t="n">
        <f aca="false">Summary!H5</f>
        <v>52.5852002385373</v>
      </c>
      <c r="H5" s="5" t="n">
        <f aca="false">Summary!L5</f>
        <v>46.87</v>
      </c>
      <c r="I5" s="3" t="n">
        <f aca="false">Summary!P5</f>
        <v>10</v>
      </c>
    </row>
    <row r="6" customFormat="false" ht="15" hidden="false" customHeight="false" outlineLevel="0" collapsed="false">
      <c r="A6" s="2" t="s">
        <v>16</v>
      </c>
      <c r="B6" s="4" t="n">
        <f aca="false">Summary!D2</f>
        <v>2</v>
      </c>
      <c r="C6" s="3" t="n">
        <v>20</v>
      </c>
      <c r="D6" s="3" t="n">
        <v>10</v>
      </c>
      <c r="E6" s="5" t="n">
        <f aca="false">Summary!G2</f>
        <v>60.5711428571429</v>
      </c>
      <c r="F6" s="5" t="n">
        <f aca="false">Summary!I2</f>
        <v>81.4814814814815</v>
      </c>
      <c r="G6" s="5" t="n">
        <f aca="false">Summary!H2</f>
        <v>30.4773153426367</v>
      </c>
      <c r="H6" s="5" t="n">
        <f aca="false">Summary!L2</f>
        <v>56.955</v>
      </c>
      <c r="I6" s="3" t="n">
        <f aca="false">Summary!P2</f>
        <v>4</v>
      </c>
    </row>
    <row r="7" customFormat="false" ht="15" hidden="false" customHeight="false" outlineLevel="0" collapsed="false">
      <c r="A7" s="2" t="s">
        <v>27</v>
      </c>
      <c r="B7" s="4" t="n">
        <f aca="false">Summary!D11</f>
        <v>6</v>
      </c>
      <c r="C7" s="3" t="n">
        <v>30</v>
      </c>
      <c r="D7" s="3" t="n">
        <v>5</v>
      </c>
      <c r="E7" s="5" t="n">
        <f aca="false">Summary!G11</f>
        <v>32.3193548387097</v>
      </c>
      <c r="F7" s="5" t="n">
        <f aca="false">Summary!I11</f>
        <v>18.5185185185185</v>
      </c>
      <c r="G7" s="5" t="n">
        <f aca="false">Summary!H11</f>
        <v>43.6476799888317</v>
      </c>
      <c r="H7" s="5" t="n">
        <f aca="false">Summary!L11</f>
        <v>31.72</v>
      </c>
      <c r="I7" s="3" t="n">
        <f aca="false">Summary!P11</f>
        <v>5</v>
      </c>
    </row>
    <row r="8" customFormat="false" ht="15" hidden="false" customHeight="false" outlineLevel="0" collapsed="false">
      <c r="A8" s="2" t="s">
        <v>25</v>
      </c>
      <c r="B8" s="4" t="n">
        <f aca="false">Summary!D9</f>
        <v>3</v>
      </c>
      <c r="C8" s="3" t="n">
        <v>30</v>
      </c>
      <c r="D8" s="3" t="n">
        <v>10</v>
      </c>
      <c r="E8" s="5" t="n">
        <f aca="false">Summary!G9</f>
        <v>40.1382258064516</v>
      </c>
      <c r="F8" s="5" t="n">
        <f aca="false">Summary!I9</f>
        <v>33.3333333333333</v>
      </c>
      <c r="G8" s="5" t="n">
        <f aca="false">Summary!H9</f>
        <v>43.2939974705139</v>
      </c>
      <c r="H8" s="5" t="n">
        <f aca="false">Summary!L9</f>
        <v>37.69</v>
      </c>
      <c r="I8" s="3" t="n">
        <f aca="false">Summary!P9</f>
        <v>2</v>
      </c>
    </row>
    <row r="9" customFormat="false" ht="15" hidden="false" customHeight="false" outlineLevel="0" collapsed="false">
      <c r="A9" s="2" t="s">
        <v>23</v>
      </c>
      <c r="B9" s="4" t="n">
        <f aca="false">Summary!D7</f>
        <v>2</v>
      </c>
      <c r="C9" s="3" t="n">
        <v>30</v>
      </c>
      <c r="D9" s="3" t="n">
        <v>15</v>
      </c>
      <c r="E9" s="5" t="n">
        <f aca="false">Summary!G7</f>
        <v>44.1965079365079</v>
      </c>
      <c r="F9" s="5" t="n">
        <f aca="false">Summary!I7</f>
        <v>40.7407407407407</v>
      </c>
      <c r="G9" s="5" t="n">
        <f aca="false">Summary!H7</f>
        <v>43.1791480794446</v>
      </c>
      <c r="H9" s="5" t="n">
        <f aca="false">Summary!L7</f>
        <v>41.5</v>
      </c>
      <c r="I9" s="3" t="n">
        <f aca="false">Summary!P7</f>
        <v>6</v>
      </c>
    </row>
    <row r="10" customFormat="false" ht="15" hidden="false" customHeight="false" outlineLevel="0" collapsed="false">
      <c r="A10" s="6" t="s">
        <v>20</v>
      </c>
      <c r="B10" s="8" t="s">
        <v>21</v>
      </c>
      <c r="C10" s="7" t="s">
        <v>21</v>
      </c>
      <c r="D10" s="7" t="s">
        <v>21</v>
      </c>
      <c r="E10" s="9" t="n">
        <f aca="false">Summary!G6</f>
        <v>45.6837037037037</v>
      </c>
      <c r="F10" s="9" t="n">
        <v>0</v>
      </c>
      <c r="G10" s="9" t="n">
        <f aca="false">Summary!H6</f>
        <v>27.096210517136</v>
      </c>
      <c r="H10" s="9" t="n">
        <f aca="false">Summary!L6</f>
        <v>41.89</v>
      </c>
      <c r="I10" s="7" t="n">
        <f aca="false">Summary!P6</f>
        <v>0</v>
      </c>
    </row>
    <row r="11" customFormat="false" ht="15" hidden="false" customHeight="false" outlineLevel="0" collapsed="false">
      <c r="A11" s="6" t="s">
        <v>26</v>
      </c>
      <c r="B11" s="8" t="s">
        <v>21</v>
      </c>
      <c r="C11" s="7" t="s">
        <v>21</v>
      </c>
      <c r="D11" s="7" t="s">
        <v>21</v>
      </c>
      <c r="E11" s="9" t="n">
        <f aca="false">Summary!G10</f>
        <v>38.8696428571429</v>
      </c>
      <c r="F11" s="9" t="n">
        <f aca="false">Summary!I10</f>
        <v>29.6296296296296</v>
      </c>
      <c r="G11" s="9" t="n">
        <f aca="false">Summary!H10</f>
        <v>45.6344499360218</v>
      </c>
      <c r="H11" s="9" t="n">
        <f aca="false">Summary!L10</f>
        <v>38.525</v>
      </c>
      <c r="I11" s="7" t="n">
        <f aca="false">Summary!P10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9"/>
  </cols>
  <sheetData>
    <row r="1" customFormat="false" ht="23.8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2</v>
      </c>
      <c r="E1" s="1" t="s">
        <v>6</v>
      </c>
      <c r="F1" s="1" t="s">
        <v>8</v>
      </c>
      <c r="G1" s="1" t="s">
        <v>7</v>
      </c>
      <c r="H1" s="1" t="s">
        <v>11</v>
      </c>
      <c r="I1" s="1" t="s">
        <v>15</v>
      </c>
    </row>
    <row r="2" customFormat="false" ht="15" hidden="false" customHeight="false" outlineLevel="0" collapsed="false">
      <c r="A2" s="2" t="s">
        <v>24</v>
      </c>
      <c r="B2" s="4" t="n">
        <f aca="false">Summary!D8</f>
        <v>1.66666666666667</v>
      </c>
      <c r="C2" s="3" t="n">
        <v>5</v>
      </c>
      <c r="D2" s="3" t="n">
        <v>3</v>
      </c>
      <c r="E2" s="5" t="n">
        <f aca="false">Summary!G8</f>
        <v>42.1642253521127</v>
      </c>
      <c r="F2" s="5" t="n">
        <f aca="false">Summary!I8</f>
        <v>40.7407407407407</v>
      </c>
      <c r="G2" s="5" t="n">
        <f aca="false">Summary!H8</f>
        <v>26.2627094350038</v>
      </c>
      <c r="H2" s="5" t="n">
        <f aca="false">Summary!L8</f>
        <v>40.67</v>
      </c>
      <c r="I2" s="3" t="n">
        <f aca="false">Summary!P8</f>
        <v>7</v>
      </c>
    </row>
    <row r="3" customFormat="false" ht="15" hidden="false" customHeight="false" outlineLevel="0" collapsed="false">
      <c r="A3" s="2" t="s">
        <v>18</v>
      </c>
      <c r="B3" s="4" t="n">
        <f aca="false">Summary!D4</f>
        <v>3.33333333333333</v>
      </c>
      <c r="C3" s="3" t="n">
        <v>10</v>
      </c>
      <c r="D3" s="3" t="n">
        <v>3</v>
      </c>
      <c r="E3" s="5" t="n">
        <f aca="false">Summary!G4</f>
        <v>54.0501408450704</v>
      </c>
      <c r="F3" s="5" t="n">
        <f aca="false">Summary!I4</f>
        <v>74.0740740740741</v>
      </c>
      <c r="G3" s="5" t="n">
        <f aca="false">Summary!H4</f>
        <v>51.3943695785893</v>
      </c>
      <c r="H3" s="5" t="n">
        <f aca="false">Summary!L4</f>
        <v>42.93</v>
      </c>
      <c r="I3" s="3" t="n">
        <f aca="false">Summary!P4</f>
        <v>8</v>
      </c>
    </row>
    <row r="4" customFormat="false" ht="15" hidden="false" customHeight="false" outlineLevel="0" collapsed="false">
      <c r="A4" s="2" t="s">
        <v>17</v>
      </c>
      <c r="B4" s="4" t="n">
        <f aca="false">Summary!D3</f>
        <v>2</v>
      </c>
      <c r="C4" s="3" t="n">
        <v>10</v>
      </c>
      <c r="D4" s="3" t="n">
        <v>5</v>
      </c>
      <c r="E4" s="5" t="n">
        <f aca="false">Summary!G3</f>
        <v>56.2177464788732</v>
      </c>
      <c r="F4" s="5" t="n">
        <f aca="false">Summary!I3</f>
        <v>77.7777777777778</v>
      </c>
      <c r="G4" s="5" t="n">
        <f aca="false">Summary!H3</f>
        <v>42.3674823770057</v>
      </c>
      <c r="H4" s="5" t="n">
        <f aca="false">Summary!L3</f>
        <v>52.43</v>
      </c>
      <c r="I4" s="3" t="n">
        <f aca="false">Summary!P3</f>
        <v>3</v>
      </c>
    </row>
    <row r="5" customFormat="false" ht="15" hidden="false" customHeight="false" outlineLevel="0" collapsed="false">
      <c r="A5" s="2" t="s">
        <v>19</v>
      </c>
      <c r="B5" s="4" t="n">
        <f aca="false">Summary!D5</f>
        <v>4</v>
      </c>
      <c r="C5" s="3" t="n">
        <v>20</v>
      </c>
      <c r="D5" s="3" t="n">
        <v>5</v>
      </c>
      <c r="E5" s="5" t="n">
        <f aca="false">Summary!G5</f>
        <v>50.3831506849315</v>
      </c>
      <c r="F5" s="5" t="n">
        <f aca="false">Summary!I5</f>
        <v>74.0740740740741</v>
      </c>
      <c r="G5" s="5" t="n">
        <f aca="false">Summary!H5</f>
        <v>52.5852002385373</v>
      </c>
      <c r="H5" s="5" t="n">
        <f aca="false">Summary!L5</f>
        <v>46.87</v>
      </c>
      <c r="I5" s="3" t="n">
        <f aca="false">Summary!P5</f>
        <v>10</v>
      </c>
    </row>
    <row r="6" customFormat="false" ht="15" hidden="false" customHeight="false" outlineLevel="0" collapsed="false">
      <c r="A6" s="2" t="s">
        <v>27</v>
      </c>
      <c r="B6" s="4" t="n">
        <f aca="false">Summary!D11</f>
        <v>6</v>
      </c>
      <c r="C6" s="3" t="n">
        <v>30</v>
      </c>
      <c r="D6" s="3" t="n">
        <v>5</v>
      </c>
      <c r="E6" s="5" t="n">
        <f aca="false">Summary!G11</f>
        <v>32.3193548387097</v>
      </c>
      <c r="F6" s="5" t="n">
        <f aca="false">Summary!I11</f>
        <v>18.5185185185185</v>
      </c>
      <c r="G6" s="5" t="n">
        <f aca="false">Summary!H11</f>
        <v>43.6476799888317</v>
      </c>
      <c r="H6" s="5" t="n">
        <f aca="false">Summary!L11</f>
        <v>31.72</v>
      </c>
      <c r="I6" s="3" t="n">
        <f aca="false">Summary!P11</f>
        <v>5</v>
      </c>
    </row>
    <row r="7" customFormat="false" ht="15" hidden="false" customHeight="false" outlineLevel="0" collapsed="false">
      <c r="A7" s="2" t="s">
        <v>16</v>
      </c>
      <c r="B7" s="4" t="n">
        <f aca="false">Summary!D2</f>
        <v>2</v>
      </c>
      <c r="C7" s="3" t="n">
        <v>20</v>
      </c>
      <c r="D7" s="3" t="n">
        <v>10</v>
      </c>
      <c r="E7" s="5" t="n">
        <f aca="false">Summary!G2</f>
        <v>60.5711428571429</v>
      </c>
      <c r="F7" s="5" t="n">
        <f aca="false">Summary!I2</f>
        <v>81.4814814814815</v>
      </c>
      <c r="G7" s="5" t="n">
        <f aca="false">Summary!H2</f>
        <v>30.4773153426367</v>
      </c>
      <c r="H7" s="5" t="n">
        <f aca="false">Summary!L2</f>
        <v>56.955</v>
      </c>
      <c r="I7" s="3" t="n">
        <f aca="false">Summary!P2</f>
        <v>4</v>
      </c>
    </row>
    <row r="8" customFormat="false" ht="15" hidden="false" customHeight="false" outlineLevel="0" collapsed="false">
      <c r="A8" s="2" t="s">
        <v>25</v>
      </c>
      <c r="B8" s="4" t="n">
        <f aca="false">Summary!D9</f>
        <v>3</v>
      </c>
      <c r="C8" s="3" t="n">
        <v>30</v>
      </c>
      <c r="D8" s="3" t="n">
        <v>10</v>
      </c>
      <c r="E8" s="5" t="n">
        <f aca="false">Summary!G9</f>
        <v>40.1382258064516</v>
      </c>
      <c r="F8" s="5" t="n">
        <f aca="false">Summary!I9</f>
        <v>33.3333333333333</v>
      </c>
      <c r="G8" s="5" t="n">
        <f aca="false">Summary!H9</f>
        <v>43.2939974705139</v>
      </c>
      <c r="H8" s="5" t="n">
        <f aca="false">Summary!L9</f>
        <v>37.69</v>
      </c>
      <c r="I8" s="3" t="n">
        <f aca="false">Summary!P9</f>
        <v>2</v>
      </c>
    </row>
    <row r="9" customFormat="false" ht="15" hidden="false" customHeight="false" outlineLevel="0" collapsed="false">
      <c r="A9" s="2" t="s">
        <v>23</v>
      </c>
      <c r="B9" s="4" t="n">
        <f aca="false">Summary!D7</f>
        <v>2</v>
      </c>
      <c r="C9" s="3" t="n">
        <v>30</v>
      </c>
      <c r="D9" s="3" t="n">
        <v>15</v>
      </c>
      <c r="E9" s="5" t="n">
        <f aca="false">Summary!G7</f>
        <v>44.1965079365079</v>
      </c>
      <c r="F9" s="5" t="n">
        <f aca="false">Summary!I7</f>
        <v>40.7407407407407</v>
      </c>
      <c r="G9" s="5" t="n">
        <f aca="false">Summary!H7</f>
        <v>43.1791480794446</v>
      </c>
      <c r="H9" s="5" t="n">
        <f aca="false">Summary!L7</f>
        <v>41.5</v>
      </c>
      <c r="I9" s="3" t="n">
        <f aca="false">Summary!P7</f>
        <v>6</v>
      </c>
    </row>
    <row r="10" customFormat="false" ht="15" hidden="false" customHeight="false" outlineLevel="0" collapsed="false">
      <c r="A10" s="6" t="s">
        <v>20</v>
      </c>
      <c r="B10" s="8" t="s">
        <v>21</v>
      </c>
      <c r="C10" s="7" t="s">
        <v>21</v>
      </c>
      <c r="D10" s="7" t="s">
        <v>21</v>
      </c>
      <c r="E10" s="9" t="n">
        <f aca="false">Summary!G6</f>
        <v>45.6837037037037</v>
      </c>
      <c r="F10" s="9" t="n">
        <v>0</v>
      </c>
      <c r="G10" s="9" t="n">
        <f aca="false">Summary!H6</f>
        <v>27.096210517136</v>
      </c>
      <c r="H10" s="9" t="n">
        <f aca="false">Summary!L6</f>
        <v>41.89</v>
      </c>
      <c r="I10" s="7" t="n">
        <f aca="false">Summary!P6</f>
        <v>0</v>
      </c>
    </row>
    <row r="11" customFormat="false" ht="15" hidden="false" customHeight="false" outlineLevel="0" collapsed="false">
      <c r="A11" s="6" t="s">
        <v>26</v>
      </c>
      <c r="B11" s="8" t="s">
        <v>21</v>
      </c>
      <c r="C11" s="7" t="s">
        <v>21</v>
      </c>
      <c r="D11" s="7" t="s">
        <v>21</v>
      </c>
      <c r="E11" s="9" t="n">
        <f aca="false">Summary!G10</f>
        <v>38.8696428571429</v>
      </c>
      <c r="F11" s="9" t="n">
        <f aca="false">Summary!I10</f>
        <v>29.6296296296296</v>
      </c>
      <c r="G11" s="9" t="n">
        <f aca="false">Summary!H10</f>
        <v>45.6344499360218</v>
      </c>
      <c r="H11" s="9" t="n">
        <f aca="false">Summary!L10</f>
        <v>38.525</v>
      </c>
      <c r="I11" s="7" t="n">
        <f aca="false">Summary!P10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2026-06-23T17:06:04Z</dcterms:created>
  <dc:creator>openpyxl</dc:creator>
  <dc:description/>
  <dc:language>en-US</dc:language>
  <cp:lastModifiedBy/>
  <dcterms:modified xsi:type="dcterms:W3CDTF">2026-06-23T17:07:02Z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